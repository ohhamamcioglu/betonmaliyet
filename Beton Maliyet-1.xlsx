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68b845485b233f71/Desktop/"/>
    </mc:Choice>
  </mc:AlternateContent>
  <xr:revisionPtr revIDLastSave="24" documentId="11_AD4D0BC4A776854ACB15BC0EC697C42C693EDF22" xr6:coauthVersionLast="47" xr6:coauthVersionMax="47" xr10:uidLastSave="{B1B50657-86A0-4231-893D-FC3567EB7953}"/>
  <bookViews>
    <workbookView xWindow="-108" yWindow="-108" windowWidth="23256" windowHeight="12456" xr2:uid="{00000000-000D-0000-FFFF-FFFF00000000}"/>
  </bookViews>
  <sheets>
    <sheet name="Dashboard" sheetId="2" r:id="rId1"/>
    <sheet name="Beton Maliyet" sheetId="1" r:id="rId2"/>
    <sheet name="Hesaplama" sheetId="3" r:id="rId3"/>
  </sheets>
  <externalReferences>
    <externalReference r:id="rId4"/>
  </externalReferences>
  <definedNames>
    <definedName name="_xlnm.Print_Area" localSheetId="0">Dashboard!$B$2:$M$45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5" i="2" l="1"/>
  <c r="J35" i="2"/>
  <c r="H35" i="2"/>
  <c r="L24" i="2"/>
  <c r="J24" i="2"/>
  <c r="H24" i="2"/>
  <c r="L13" i="2"/>
  <c r="J13" i="2"/>
  <c r="H13" i="2"/>
  <c r="C4" i="3"/>
  <c r="H28" i="3" s="1"/>
  <c r="C5" i="3"/>
  <c r="E29" i="3" s="1"/>
  <c r="C6" i="3"/>
  <c r="D30" i="3" s="1"/>
  <c r="C7" i="3"/>
  <c r="G32" i="3" s="1"/>
  <c r="C8" i="3"/>
  <c r="G33" i="3" s="1"/>
  <c r="C9" i="3"/>
  <c r="C10" i="3"/>
  <c r="C34" i="3" s="1"/>
  <c r="C11" i="3"/>
  <c r="F35" i="3" s="1"/>
  <c r="C12" i="3"/>
  <c r="C13" i="3"/>
  <c r="C14" i="3"/>
  <c r="C15" i="3"/>
  <c r="C16" i="3"/>
  <c r="C17" i="3"/>
  <c r="C18" i="3"/>
  <c r="C19" i="3"/>
  <c r="C20" i="3"/>
  <c r="H35" i="3"/>
  <c r="H34" i="3"/>
  <c r="H32" i="3"/>
  <c r="H29" i="3"/>
  <c r="H26" i="3"/>
  <c r="G26" i="3"/>
  <c r="F26" i="3"/>
  <c r="E35" i="3"/>
  <c r="E34" i="3"/>
  <c r="E26" i="3"/>
  <c r="D34" i="3"/>
  <c r="D26" i="3"/>
  <c r="C35" i="3"/>
  <c r="N26" i="1"/>
  <c r="L26" i="1"/>
  <c r="J26" i="1"/>
  <c r="H26" i="1"/>
  <c r="F26" i="1"/>
  <c r="D26" i="1"/>
  <c r="N25" i="1"/>
  <c r="L25" i="1"/>
  <c r="J25" i="1"/>
  <c r="H25" i="1"/>
  <c r="F25" i="1"/>
  <c r="D25" i="1"/>
  <c r="N24" i="1"/>
  <c r="L24" i="1"/>
  <c r="J24" i="1"/>
  <c r="H24" i="1"/>
  <c r="F24" i="1"/>
  <c r="D24" i="1"/>
  <c r="N23" i="1"/>
  <c r="L23" i="1"/>
  <c r="J23" i="1"/>
  <c r="H23" i="1"/>
  <c r="F23" i="1"/>
  <c r="D23" i="1"/>
  <c r="N22" i="1"/>
  <c r="L22" i="1"/>
  <c r="J22" i="1"/>
  <c r="H22" i="1"/>
  <c r="F22" i="1"/>
  <c r="D22" i="1"/>
  <c r="N19" i="1"/>
  <c r="L19" i="1"/>
  <c r="J19" i="1"/>
  <c r="H19" i="1"/>
  <c r="F19" i="1"/>
  <c r="D19" i="1"/>
  <c r="N18" i="1"/>
  <c r="L18" i="1"/>
  <c r="J18" i="1"/>
  <c r="H18" i="1"/>
  <c r="F18" i="1"/>
  <c r="D18" i="1"/>
  <c r="N16" i="1"/>
  <c r="L16" i="1"/>
  <c r="J16" i="1"/>
  <c r="H16" i="1"/>
  <c r="F16" i="1"/>
  <c r="D16" i="1"/>
  <c r="M15" i="1"/>
  <c r="N15" i="1" s="1"/>
  <c r="K15" i="1"/>
  <c r="L15" i="1" s="1"/>
  <c r="I15" i="1"/>
  <c r="J15" i="1" s="1"/>
  <c r="G15" i="1"/>
  <c r="H15" i="1" s="1"/>
  <c r="E15" i="1"/>
  <c r="F15" i="1" s="1"/>
  <c r="C15" i="1"/>
  <c r="D15" i="1" s="1"/>
  <c r="M14" i="1"/>
  <c r="N14" i="1" s="1"/>
  <c r="K14" i="1"/>
  <c r="L14" i="1" s="1"/>
  <c r="I14" i="1"/>
  <c r="J14" i="1" s="1"/>
  <c r="G14" i="1"/>
  <c r="H14" i="1" s="1"/>
  <c r="E14" i="1"/>
  <c r="F14" i="1" s="1"/>
  <c r="C14" i="1"/>
  <c r="D14" i="1" s="1"/>
  <c r="M13" i="1"/>
  <c r="N13" i="1" s="1"/>
  <c r="K13" i="1"/>
  <c r="L13" i="1" s="1"/>
  <c r="I13" i="1"/>
  <c r="J13" i="1" s="1"/>
  <c r="G13" i="1"/>
  <c r="H13" i="1" s="1"/>
  <c r="E13" i="1"/>
  <c r="F13" i="1" s="1"/>
  <c r="C13" i="1"/>
  <c r="D13" i="1" s="1"/>
  <c r="M12" i="1"/>
  <c r="K12" i="1"/>
  <c r="I12" i="1"/>
  <c r="G12" i="1"/>
  <c r="E12" i="1"/>
  <c r="N11" i="1"/>
  <c r="L11" i="1"/>
  <c r="J11" i="1"/>
  <c r="H11" i="1"/>
  <c r="F11" i="1"/>
  <c r="D11" i="1"/>
  <c r="N10" i="1"/>
  <c r="L10" i="1"/>
  <c r="J10" i="1"/>
  <c r="H10" i="1"/>
  <c r="F10" i="1"/>
  <c r="D10" i="1"/>
  <c r="G4" i="1"/>
  <c r="N17" i="1" s="1"/>
  <c r="E4" i="1"/>
  <c r="C31" i="3" l="1"/>
  <c r="D28" i="3"/>
  <c r="C36" i="3"/>
  <c r="D35" i="3"/>
  <c r="G35" i="3"/>
  <c r="F30" i="3"/>
  <c r="N12" i="1"/>
  <c r="N20" i="1" s="1"/>
  <c r="N21" i="1" s="1"/>
  <c r="J12" i="1"/>
  <c r="F28" i="3"/>
  <c r="G34" i="3"/>
  <c r="G42" i="3"/>
  <c r="D12" i="1"/>
  <c r="F12" i="1"/>
  <c r="F17" i="1"/>
  <c r="C43" i="3"/>
  <c r="H12" i="1"/>
  <c r="H20" i="1" s="1"/>
  <c r="H21" i="1" s="1"/>
  <c r="H17" i="1"/>
  <c r="F31" i="3"/>
  <c r="D31" i="3"/>
  <c r="D43" i="3"/>
  <c r="H33" i="3"/>
  <c r="G31" i="3"/>
  <c r="E31" i="3"/>
  <c r="G43" i="3"/>
  <c r="C28" i="3"/>
  <c r="E32" i="3"/>
  <c r="F32" i="3"/>
  <c r="D29" i="3"/>
  <c r="L12" i="1"/>
  <c r="D32" i="3"/>
  <c r="G28" i="3"/>
  <c r="G29" i="3"/>
  <c r="E28" i="3"/>
  <c r="F42" i="3"/>
  <c r="C29" i="3"/>
  <c r="G30" i="3"/>
  <c r="F29" i="3"/>
  <c r="D42" i="3"/>
  <c r="E42" i="3"/>
  <c r="C42" i="3"/>
  <c r="C32" i="3"/>
  <c r="F34" i="3"/>
  <c r="H30" i="3"/>
  <c r="C30" i="3"/>
  <c r="E30" i="3"/>
  <c r="F43" i="3"/>
  <c r="H31" i="3"/>
  <c r="H42" i="3"/>
  <c r="H43" i="3"/>
  <c r="E43" i="3"/>
  <c r="H36" i="3"/>
  <c r="C39" i="3"/>
  <c r="H37" i="3"/>
  <c r="H38" i="3"/>
  <c r="E37" i="3"/>
  <c r="E33" i="3"/>
  <c r="F36" i="3"/>
  <c r="G38" i="3"/>
  <c r="C38" i="3"/>
  <c r="F37" i="3"/>
  <c r="G39" i="3"/>
  <c r="G40" i="3"/>
  <c r="F38" i="3"/>
  <c r="E36" i="3"/>
  <c r="D33" i="3"/>
  <c r="E38" i="3"/>
  <c r="F33" i="3"/>
  <c r="C33" i="3"/>
  <c r="G36" i="3"/>
  <c r="G37" i="3"/>
  <c r="D36" i="3"/>
  <c r="H40" i="3"/>
  <c r="F40" i="3"/>
  <c r="E40" i="3"/>
  <c r="D40" i="3"/>
  <c r="C40" i="3"/>
  <c r="D38" i="3"/>
  <c r="D37" i="3"/>
  <c r="C37" i="3"/>
  <c r="D39" i="3"/>
  <c r="E39" i="3"/>
  <c r="F39" i="3"/>
  <c r="H39" i="3"/>
  <c r="D17" i="1"/>
  <c r="J17" i="1"/>
  <c r="L17" i="1"/>
  <c r="F20" i="1" l="1"/>
  <c r="F21" i="1" s="1"/>
  <c r="F27" i="1" s="1"/>
  <c r="F28" i="1" s="1"/>
  <c r="D20" i="1"/>
  <c r="D21" i="1" s="1"/>
  <c r="L20" i="1"/>
  <c r="J20" i="1"/>
  <c r="J21" i="1" s="1"/>
  <c r="G41" i="3"/>
  <c r="G47" i="3" s="1"/>
  <c r="G41" i="2" s="1"/>
  <c r="G45" i="3"/>
  <c r="G19" i="2" s="1"/>
  <c r="C41" i="3"/>
  <c r="C46" i="3" s="1"/>
  <c r="G26" i="2" s="1"/>
  <c r="D41" i="3"/>
  <c r="D45" i="3" s="1"/>
  <c r="G16" i="2" s="1"/>
  <c r="F41" i="3"/>
  <c r="F46" i="3" s="1"/>
  <c r="G29" i="2" s="1"/>
  <c r="H41" i="3"/>
  <c r="H46" i="3" s="1"/>
  <c r="G31" i="2" s="1"/>
  <c r="E41" i="3"/>
  <c r="E45" i="3" s="1"/>
  <c r="G46" i="3"/>
  <c r="G30" i="2" s="1"/>
  <c r="H27" i="1"/>
  <c r="H28" i="1" s="1"/>
  <c r="N27" i="1"/>
  <c r="N28" i="1" s="1"/>
  <c r="L21" i="1"/>
  <c r="L41" i="2" l="1"/>
  <c r="M41" i="2" s="1"/>
  <c r="H41" i="2"/>
  <c r="I41" i="2" s="1"/>
  <c r="J41" i="2"/>
  <c r="K41" i="2" s="1"/>
  <c r="D46" i="3"/>
  <c r="G27" i="2" s="1"/>
  <c r="J27" i="2" s="1"/>
  <c r="K27" i="2" s="1"/>
  <c r="D47" i="3"/>
  <c r="G38" i="2" s="1"/>
  <c r="C45" i="3"/>
  <c r="G15" i="2" s="1"/>
  <c r="J15" i="2" s="1"/>
  <c r="K15" i="2" s="1"/>
  <c r="C47" i="3"/>
  <c r="G37" i="2" s="1"/>
  <c r="L30" i="2"/>
  <c r="M30" i="2" s="1"/>
  <c r="J30" i="2"/>
  <c r="K30" i="2" s="1"/>
  <c r="H30" i="2"/>
  <c r="I30" i="2" s="1"/>
  <c r="G17" i="2"/>
  <c r="L26" i="2"/>
  <c r="M26" i="2" s="1"/>
  <c r="H26" i="2"/>
  <c r="I26" i="2" s="1"/>
  <c r="J26" i="2"/>
  <c r="K26" i="2" s="1"/>
  <c r="L31" i="2"/>
  <c r="M31" i="2" s="1"/>
  <c r="H31" i="2"/>
  <c r="I31" i="2" s="1"/>
  <c r="J31" i="2"/>
  <c r="K31" i="2" s="1"/>
  <c r="H29" i="2"/>
  <c r="I29" i="2" s="1"/>
  <c r="J29" i="2"/>
  <c r="K29" i="2" s="1"/>
  <c r="L29" i="2"/>
  <c r="M29" i="2" s="1"/>
  <c r="L16" i="2"/>
  <c r="M16" i="2" s="1"/>
  <c r="J16" i="2"/>
  <c r="K16" i="2" s="1"/>
  <c r="H16" i="2"/>
  <c r="I16" i="2" s="1"/>
  <c r="L19" i="2"/>
  <c r="M19" i="2" s="1"/>
  <c r="H19" i="2"/>
  <c r="I19" i="2" s="1"/>
  <c r="J19" i="2"/>
  <c r="K19" i="2" s="1"/>
  <c r="H47" i="3"/>
  <c r="G42" i="2" s="1"/>
  <c r="F47" i="3"/>
  <c r="G40" i="2" s="1"/>
  <c r="F45" i="3"/>
  <c r="E46" i="3"/>
  <c r="G28" i="2" s="1"/>
  <c r="H45" i="3"/>
  <c r="G20" i="2" s="1"/>
  <c r="E47" i="3"/>
  <c r="G39" i="2" s="1"/>
  <c r="L27" i="1"/>
  <c r="L28" i="1" s="1"/>
  <c r="J27" i="1"/>
  <c r="J28" i="1" s="1"/>
  <c r="D27" i="1"/>
  <c r="D28" i="1" s="1"/>
  <c r="H27" i="2" l="1"/>
  <c r="I27" i="2" s="1"/>
  <c r="L27" i="2"/>
  <c r="M27" i="2" s="1"/>
  <c r="H15" i="2"/>
  <c r="I15" i="2" s="1"/>
  <c r="L15" i="2"/>
  <c r="M15" i="2" s="1"/>
  <c r="L37" i="2"/>
  <c r="M37" i="2" s="1"/>
  <c r="J37" i="2"/>
  <c r="K37" i="2" s="1"/>
  <c r="H37" i="2"/>
  <c r="I37" i="2" s="1"/>
  <c r="L40" i="2"/>
  <c r="M40" i="2" s="1"/>
  <c r="H40" i="2"/>
  <c r="I40" i="2" s="1"/>
  <c r="J40" i="2"/>
  <c r="K40" i="2" s="1"/>
  <c r="L39" i="2"/>
  <c r="M39" i="2" s="1"/>
  <c r="H39" i="2"/>
  <c r="I39" i="2" s="1"/>
  <c r="J39" i="2"/>
  <c r="K39" i="2" s="1"/>
  <c r="L38" i="2"/>
  <c r="M38" i="2" s="1"/>
  <c r="H38" i="2"/>
  <c r="I38" i="2" s="1"/>
  <c r="J38" i="2"/>
  <c r="K38" i="2" s="1"/>
  <c r="J42" i="2"/>
  <c r="K42" i="2" s="1"/>
  <c r="H42" i="2"/>
  <c r="I42" i="2" s="1"/>
  <c r="L42" i="2"/>
  <c r="M42" i="2" s="1"/>
  <c r="G18" i="2"/>
  <c r="L18" i="2" s="1"/>
  <c r="M18" i="2" s="1"/>
  <c r="L6" i="2"/>
  <c r="L7" i="2" s="1"/>
  <c r="L8" i="2" s="1"/>
  <c r="L28" i="2"/>
  <c r="M28" i="2" s="1"/>
  <c r="H28" i="2"/>
  <c r="I28" i="2" s="1"/>
  <c r="J28" i="2"/>
  <c r="K28" i="2" s="1"/>
  <c r="L20" i="2"/>
  <c r="M20" i="2" s="1"/>
  <c r="H20" i="2"/>
  <c r="I20" i="2" s="1"/>
  <c r="J20" i="2"/>
  <c r="K20" i="2" s="1"/>
  <c r="L17" i="2"/>
  <c r="M17" i="2" s="1"/>
  <c r="H17" i="2"/>
  <c r="I17" i="2" s="1"/>
  <c r="J17" i="2"/>
  <c r="K17" i="2" s="1"/>
  <c r="H18" i="2" l="1"/>
  <c r="I18" i="2" s="1"/>
  <c r="J18" i="2"/>
  <c r="K18" i="2" s="1"/>
</calcChain>
</file>

<file path=xl/sharedStrings.xml><?xml version="1.0" encoding="utf-8"?>
<sst xmlns="http://schemas.openxmlformats.org/spreadsheetml/2006/main" count="254" uniqueCount="165">
  <si>
    <t>EKİM</t>
  </si>
  <si>
    <t>ÜRETİM TİPİ:</t>
  </si>
  <si>
    <t>POMPALI</t>
  </si>
  <si>
    <t>ÇİMENTO 
(KDV HARİÇ)</t>
  </si>
  <si>
    <t>AGREGA 
(KDV HARİÇ)</t>
  </si>
  <si>
    <t>KATKI 
(KDV HARİÇ)</t>
  </si>
  <si>
    <t>MAZOT
(KDV HARİÇ)</t>
  </si>
  <si>
    <t>ORT. İŞÇİLİK
(MAAŞ + SİGORTA</t>
  </si>
  <si>
    <t>DOLAR/TL</t>
  </si>
  <si>
    <t>ELEKTRİK
KWH ÜCRETİ
(KDV HARİÇ)</t>
  </si>
  <si>
    <t>ORT. BETON DÖKÜM
MESAFESİ (KM)</t>
  </si>
  <si>
    <t>KAMYON AGREGA
TAŞIMA MESAFESİ</t>
  </si>
  <si>
    <t>ORT. GÜNLÜK 
BETON DÖKÜMÜ</t>
  </si>
  <si>
    <t>SU FİYATI 
(KDV HARİÇ)</t>
  </si>
  <si>
    <t>ORT MİKSER
TAŞIMA KAPASİTESİ</t>
  </si>
  <si>
    <t>SANTAL AYLIK 
KİRA BEDELİ</t>
  </si>
  <si>
    <t>MİKSER AYLIK 
KİRA BEDELİ</t>
  </si>
  <si>
    <t>POMPA AYLIK 
KİRA BEDELİ</t>
  </si>
  <si>
    <t>LOADER AYLIK 
KİRA BEDELİ</t>
  </si>
  <si>
    <t>SERVİS ARAÇ 
AYLIK BEDELİ</t>
  </si>
  <si>
    <t>C 16</t>
  </si>
  <si>
    <t>C 20</t>
  </si>
  <si>
    <t>C 25</t>
  </si>
  <si>
    <t>C 30</t>
  </si>
  <si>
    <t>C 35</t>
  </si>
  <si>
    <t>C 40</t>
  </si>
  <si>
    <t>MİKTAR</t>
  </si>
  <si>
    <t>TUTAR</t>
  </si>
  <si>
    <t>ÇİMENTO</t>
  </si>
  <si>
    <t>AGREGA</t>
  </si>
  <si>
    <t>KATKI</t>
  </si>
  <si>
    <t>MİKSER MOTORİN</t>
  </si>
  <si>
    <t>AGREGA NAKLİYE</t>
  </si>
  <si>
    <t>POMPA MOTORİN</t>
  </si>
  <si>
    <t>KEPÇE MOTORİN</t>
  </si>
  <si>
    <t>İŞÇİLİK</t>
  </si>
  <si>
    <t>ELEKTRİK(KWH)</t>
  </si>
  <si>
    <t xml:space="preserve">SU </t>
  </si>
  <si>
    <t>DİĞER (%5)</t>
  </si>
  <si>
    <t>ARA TOPLAM</t>
  </si>
  <si>
    <t>MİKSER KİRA BEDELİ</t>
  </si>
  <si>
    <t>POMPA KİRA BEDELİ</t>
  </si>
  <si>
    <t>LOADER KİRA BEDELİ</t>
  </si>
  <si>
    <t>SANTRAL KİRA BEDELİ</t>
  </si>
  <si>
    <t>SERVİS ARAÇ KİRA BEDELİ</t>
  </si>
  <si>
    <t>GENEL TOPLAM</t>
  </si>
  <si>
    <t>*ELEKTRİK: 1M³ BETON İÇİN 5,5KWH</t>
  </si>
  <si>
    <t>*MİKSER: 0,70 L/KM</t>
  </si>
  <si>
    <t>*AGREGA KAMYONU : 0,40 L/KM</t>
  </si>
  <si>
    <t>*KEPÇE : 0,35 L/M³</t>
  </si>
  <si>
    <t>*POMPA : 0,73 L/M³</t>
  </si>
  <si>
    <t>*AGREGA OCAK MALİYETİ 200 TL (AGREGA FİYATI VE NAKLİYE MOTORİN FİYATI BOLVADİN TESLİM %15 KARLI HESAPLANMIŞTIR)</t>
  </si>
  <si>
    <t>*SU: BETON SUYU + YIKAMA 1 TON (BELEDİYE FİYATI KDV DAHİL 14,61)</t>
  </si>
  <si>
    <t>*SARI ALANLARA DEĞER GİRİNİZ.</t>
  </si>
  <si>
    <t>Dönem</t>
  </si>
  <si>
    <t>Çimento (TL/ton)</t>
  </si>
  <si>
    <t>Agrega (TL/ton)</t>
  </si>
  <si>
    <t>Katkı ($/kg)</t>
  </si>
  <si>
    <t>Mazot (TL/L)</t>
  </si>
  <si>
    <t>Dolar/TL</t>
  </si>
  <si>
    <t>Elektrik (TL/kWh)</t>
  </si>
  <si>
    <t>Su (TL/ton)</t>
  </si>
  <si>
    <t>Santral</t>
  </si>
  <si>
    <t>Pompa</t>
  </si>
  <si>
    <t>Loader</t>
  </si>
  <si>
    <t>Servis Aracı</t>
  </si>
  <si>
    <t>Kâr Oranı 1</t>
  </si>
  <si>
    <t>Kâr Oranı 2</t>
  </si>
  <si>
    <t>Kâr Oranı 3</t>
  </si>
  <si>
    <t>BETON MALİYET HESAPLAMA (Arka Plan) - Girdileri Dashboard sayfasından değiştiriniz</t>
  </si>
  <si>
    <t>GİRDİLER (Dashboard bağlantılı)</t>
  </si>
  <si>
    <t>Ort. İşçilik (TL/kişi/ay)</t>
  </si>
  <si>
    <t>Döküm Mesafesi (km)</t>
  </si>
  <si>
    <t>Agrega Taşıma Mesafesi (km)</t>
  </si>
  <si>
    <t>Günlük Döküm (m³)</t>
  </si>
  <si>
    <t>Mikser Kapasitesi (m³)</t>
  </si>
  <si>
    <t>Santral Kira (TL/ay)</t>
  </si>
  <si>
    <t>Mikser Kira (TL/ay)</t>
  </si>
  <si>
    <t>Pompa Kira (TL/ay)</t>
  </si>
  <si>
    <t>Loader Kira (TL/ay)</t>
  </si>
  <si>
    <t>Servis Aracı Kira (TL/ay)</t>
  </si>
  <si>
    <t>SABİT PARAMETRELER</t>
  </si>
  <si>
    <t>Mikser yakıt tüketimi (L/km)</t>
  </si>
  <si>
    <t>Agrega kamyonu yakıt (L/km)</t>
  </si>
  <si>
    <t>Agrega kamyon kapasitesi (ton)</t>
  </si>
  <si>
    <t>Agrega nakliye kâr payı</t>
  </si>
  <si>
    <t>Pompa motorin (L/m³)</t>
  </si>
  <si>
    <t>Kepçe motorin (L/m³)</t>
  </si>
  <si>
    <t>İşçi sayısı</t>
  </si>
  <si>
    <t>Elektrik tüketimi (kWh/m³)</t>
  </si>
  <si>
    <t>Su tüketimi (ton/m³)</t>
  </si>
  <si>
    <t>Diğer gider oranı</t>
  </si>
  <si>
    <t>Mikser adedi</t>
  </si>
  <si>
    <t>Pompa adedi</t>
  </si>
  <si>
    <t>Loader adedi</t>
  </si>
  <si>
    <t>Santral adedi</t>
  </si>
  <si>
    <t>Servis aracı adedi</t>
  </si>
  <si>
    <t>Aylık gün sayısı</t>
  </si>
  <si>
    <t>Katkı oranı (çimentonun %)</t>
  </si>
  <si>
    <t>REÇETE VE MALİYET HESABI (TL/m³)</t>
  </si>
  <si>
    <t>Kalem</t>
  </si>
  <si>
    <t>Çimento (kg/m³)</t>
  </si>
  <si>
    <t>Agrega (kg/m³)</t>
  </si>
  <si>
    <t>Katkı (kg/m³)</t>
  </si>
  <si>
    <t>Birim Maliyetler (TL/m³)</t>
  </si>
  <si>
    <t>Çimento</t>
  </si>
  <si>
    <t>Agrega</t>
  </si>
  <si>
    <t>Katkı</t>
  </si>
  <si>
    <t>Agrega Nakliye</t>
  </si>
  <si>
    <t>Kepçe Motorin</t>
  </si>
  <si>
    <t>İşçilik</t>
  </si>
  <si>
    <t>Elektrik</t>
  </si>
  <si>
    <t>Su</t>
  </si>
  <si>
    <t>Mikser Kira</t>
  </si>
  <si>
    <t>Pompa Kira</t>
  </si>
  <si>
    <t>Loader Kira</t>
  </si>
  <si>
    <t>Santral Kira</t>
  </si>
  <si>
    <t>Servis Aracı Kira</t>
  </si>
  <si>
    <t>Ortak Maliyet Ara Toplam</t>
  </si>
  <si>
    <t>Mikser Motorin (Pompalı + Mikserli)</t>
  </si>
  <si>
    <t>Pompa Motorin (sadece Pompalı)</t>
  </si>
  <si>
    <t>Üretim Tipine Göre Toplam Maliyet (Diğer gider dahil)</t>
  </si>
  <si>
    <t>MİKSERLİ</t>
  </si>
  <si>
    <t>SANTRAL ALTI</t>
  </si>
  <si>
    <t>Beton Sınıfı</t>
  </si>
  <si>
    <t>KDV Oranı</t>
  </si>
  <si>
    <t>BETON FİYAT HESAPLAMA PANELİ</t>
  </si>
  <si>
    <t>NASIL KULLANILIR?   ①  Sol taraftaki SARI kutulara güncel değerleri yazın.   ②  Kâr ve KDV oranlarını girin.   ③  Fiyatlar sağ tarafta otomatik hesaplanır.</t>
  </si>
  <si>
    <t>①  GÜNCEL FİYATLAR (KDV hariç)</t>
  </si>
  <si>
    <t>②  İŞLETME BİLGİLERİ</t>
  </si>
  <si>
    <t>③  AYLIK KİRA BEDELLERİ</t>
  </si>
  <si>
    <t>④  KÂR VE KDV ORANLARI</t>
  </si>
  <si>
    <t>TL / ton</t>
  </si>
  <si>
    <t>$ / kg</t>
  </si>
  <si>
    <t>Dolar Kuru</t>
  </si>
  <si>
    <t>TL</t>
  </si>
  <si>
    <t>Mazot</t>
  </si>
  <si>
    <t>TL / litre</t>
  </si>
  <si>
    <t>TL / kWh</t>
  </si>
  <si>
    <t>İşçi Maliyeti (Maaş + SGK)</t>
  </si>
  <si>
    <t>TL / kişi / ay</t>
  </si>
  <si>
    <t>Ortalama Beton Döküm Mesafesi</t>
  </si>
  <si>
    <t>km</t>
  </si>
  <si>
    <t>Agrega Taşıma Mesafesi</t>
  </si>
  <si>
    <t>Günlük Ortalama Beton Üretimi</t>
  </si>
  <si>
    <t>m³ / gün</t>
  </si>
  <si>
    <t>Mikser Taşıma Kapasitesi</t>
  </si>
  <si>
    <t>m³</t>
  </si>
  <si>
    <t>TL / ay</t>
  </si>
  <si>
    <t>Mikser (araç başına)</t>
  </si>
  <si>
    <t>%</t>
  </si>
  <si>
    <t>Sarı kutular = sizin gireceğiniz değerler. Diğer tüm hücreler otomatik hesaplanır.</t>
  </si>
  <si>
    <t>🔍  HIZLI FİYAT SORGULAMA  —  Listeden seçin, fiyat anında çıksın</t>
  </si>
  <si>
    <t>Üretim Tipi</t>
  </si>
  <si>
    <t>Maliyet (kârsız)</t>
  </si>
  <si>
    <t>Satış Fiyatı (KDV hariç)</t>
  </si>
  <si>
    <t>Kâr Oranı</t>
  </si>
  <si>
    <t>Satış Fiyatı (KDV dahil)</t>
  </si>
  <si>
    <t>📋  FİYAT LİSTESİ  (TL / m³)</t>
  </si>
  <si>
    <t>Beton mikserle şantiyeye taşınır ve pompa ile dökülür.</t>
  </si>
  <si>
    <t>KDV Hariç</t>
  </si>
  <si>
    <t>KDV Dahil</t>
  </si>
  <si>
    <t>Beton mikserle şantiyeye taşınır, pompa kullanılmaz.</t>
  </si>
  <si>
    <t>Müşteri betonu santralden kendi aracıyla teslim alır.</t>
  </si>
  <si>
    <t>Tüm fiyatlar 1 m³ beton içindir ve TL cinsindendir. Kârsız maliyet; malzeme, nakliye, işçilik, enerji ve kira giderlerini içerir.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</si>
</sst>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&quot;₺&quot;* #,##0.00_-;\-&quot;₺&quot;* #,##0.00_-;_-&quot;₺&quot;* &quot;-&quot;??_-;_-@"/>
    <numFmt numFmtId="165" formatCode="_-[$$-409]* #,##0.00_ ;_-[$$-409]* \-#,##0.00\ ;_-[$$-409]* &quot;-&quot;??_ ;_-@_ "/>
    <numFmt numFmtId="166" formatCode="0.000"/>
    <numFmt numFmtId="167" formatCode="_-&quot;₺&quot;* #,##0.000_-;\-&quot;₺&quot;* #,##0.000_-;_-&quot;₺&quot;* &quot;-&quot;???_-;_-@"/>
    <numFmt numFmtId="168" formatCode="&quot;Kâr &quot;0%"/>
    <numFmt numFmtId="169" formatCode="#,##0.00\ &quot;TL&quot;"/>
    <numFmt numFmtId="170" formatCode="#,##0.0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11"/>
      <color rgb="FF0000FF"/>
      <name val="Calibri"/>
      <family val="2"/>
      <charset val="162"/>
      <scheme val="minor"/>
    </font>
    <font>
      <sz val="11"/>
      <name val="Calibri"/>
      <family val="2"/>
      <charset val="162"/>
    </font>
    <font>
      <i/>
      <sz val="11"/>
      <color theme="1"/>
      <name val="Calibri"/>
      <family val="2"/>
      <charset val="162"/>
    </font>
    <font>
      <b/>
      <sz val="11"/>
      <color theme="1"/>
      <name val="Calibri"/>
      <family val="2"/>
      <charset val="162"/>
    </font>
    <font>
      <b/>
      <i/>
      <sz val="11"/>
      <color theme="1"/>
      <name val="Calibri"/>
      <family val="2"/>
      <charset val="162"/>
    </font>
    <font>
      <sz val="11"/>
      <color rgb="FFFF0000"/>
      <name val="Calibri"/>
      <family val="2"/>
      <charset val="162"/>
    </font>
    <font>
      <sz val="11"/>
      <color rgb="FF0000F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7F7F7F"/>
      <name val="Calibri"/>
      <family val="2"/>
      <scheme val="minor"/>
    </font>
    <font>
      <sz val="11"/>
      <color rgb="FF262626"/>
      <name val="Calibri"/>
      <family val="2"/>
      <charset val="162"/>
      <scheme val="minor"/>
    </font>
    <font>
      <b/>
      <sz val="18"/>
      <color rgb="FFFFFFFF"/>
      <name val="Calibri"/>
      <family val="2"/>
      <scheme val="minor"/>
    </font>
    <font>
      <i/>
      <sz val="11"/>
      <color rgb="FF1F3864"/>
      <name val="Calibri"/>
      <family val="2"/>
      <scheme val="minor"/>
    </font>
    <font>
      <b/>
      <sz val="11"/>
      <color rgb="FF262626"/>
      <name val="Calibri"/>
      <family val="2"/>
      <charset val="162"/>
      <scheme val="minor"/>
    </font>
    <font>
      <b/>
      <sz val="12"/>
      <color rgb="FFFFFFFF"/>
      <name val="Calibri"/>
      <family val="2"/>
      <scheme val="minor"/>
    </font>
    <font>
      <sz val="10"/>
      <color rgb="FF7F7F7F"/>
      <name val="Calibri"/>
      <family val="2"/>
      <charset val="162"/>
      <scheme val="minor"/>
    </font>
    <font>
      <i/>
      <sz val="9"/>
      <color rgb="FF7F7F7F"/>
      <name val="Calibri"/>
      <family val="2"/>
      <charset val="162"/>
      <scheme val="minor"/>
    </font>
    <font>
      <b/>
      <sz val="11"/>
      <color rgb="FF0000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11"/>
      <color rgb="FFFFFFFF"/>
      <name val="Calibri"/>
      <family val="2"/>
      <scheme val="minor"/>
    </font>
    <font>
      <b/>
      <sz val="11"/>
      <color rgb="FF1F3864"/>
      <name val="Calibri"/>
      <family val="2"/>
      <scheme val="minor"/>
    </font>
    <font>
      <b/>
      <sz val="11"/>
      <color rgb="FF1F3864"/>
      <name val="Calibri"/>
      <family val="2"/>
      <charset val="162"/>
      <scheme val="minor"/>
    </font>
    <font>
      <sz val="11"/>
      <color rgb="FF7F7F7F"/>
      <name val="Calibri"/>
      <family val="2"/>
      <charset val="162"/>
      <scheme val="minor"/>
    </font>
    <font>
      <i/>
      <sz val="9"/>
      <color rgb="FF7F7F7F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AEABAB"/>
        <bgColor rgb="FFAEABAB"/>
      </patternFill>
    </fill>
    <fill>
      <patternFill patternType="solid">
        <fgColor rgb="FF9CC2E5"/>
        <bgColor rgb="FF9CC2E5"/>
      </patternFill>
    </fill>
    <fill>
      <patternFill patternType="solid">
        <fgColor rgb="FFF7CAAC"/>
        <bgColor rgb="FFF7CAAC"/>
      </patternFill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BE5D6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  <diagonal/>
    </border>
    <border>
      <left/>
      <right/>
      <top/>
      <bottom style="thin">
        <color rgb="FFD9D9D9"/>
      </bottom>
      <diagonal/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BF9000"/>
      </left>
      <right style="thin">
        <color rgb="FFBF9000"/>
      </right>
      <top style="thin">
        <color rgb="FFD9D9D9"/>
      </top>
      <bottom style="thin">
        <color rgb="FFD9D9D9"/>
      </bottom>
      <diagonal/>
    </border>
    <border>
      <left/>
      <right/>
      <top style="medium">
        <color rgb="FFC55A11"/>
      </top>
      <bottom/>
      <diagonal/>
    </border>
    <border>
      <left/>
      <right/>
      <top/>
      <bottom style="medium">
        <color rgb="FFC55A11"/>
      </bottom>
      <diagonal/>
    </border>
    <border>
      <left style="medium">
        <color rgb="FFC55A11"/>
      </left>
      <right/>
      <top style="medium">
        <color rgb="FFC55A11"/>
      </top>
      <bottom/>
      <diagonal/>
    </border>
    <border>
      <left style="medium">
        <color rgb="FFC55A11"/>
      </left>
      <right/>
      <top/>
      <bottom/>
      <diagonal/>
    </border>
    <border>
      <left style="medium">
        <color rgb="FFC55A11"/>
      </left>
      <right/>
      <top/>
      <bottom style="medium">
        <color rgb="FFC55A11"/>
      </bottom>
      <diagonal/>
    </border>
    <border>
      <left/>
      <right style="medium">
        <color rgb="FFC55A11"/>
      </right>
      <top style="medium">
        <color rgb="FFC55A11"/>
      </top>
      <bottom/>
      <diagonal/>
    </border>
    <border>
      <left/>
      <right style="medium">
        <color rgb="FFC55A11"/>
      </right>
      <top/>
      <bottom/>
      <diagonal/>
    </border>
    <border>
      <left/>
      <right style="medium">
        <color rgb="FFC55A11"/>
      </right>
      <top/>
      <bottom style="medium">
        <color rgb="FFC55A11"/>
      </bottom>
      <diagonal/>
    </border>
    <border>
      <left style="medium">
        <color rgb="FFC55A11"/>
      </left>
      <right/>
      <top style="thin">
        <color rgb="FFF4B183"/>
      </top>
      <bottom style="thin">
        <color rgb="FFF4B183"/>
      </bottom>
      <diagonal/>
    </border>
    <border>
      <left/>
      <right/>
      <top style="thin">
        <color rgb="FFF4B183"/>
      </top>
      <bottom style="thin">
        <color rgb="FFF4B183"/>
      </bottom>
      <diagonal/>
    </border>
    <border>
      <left/>
      <right style="medium">
        <color rgb="FFC55A11"/>
      </right>
      <top style="thin">
        <color rgb="FFF4B183"/>
      </top>
      <bottom style="thin">
        <color rgb="FFF4B183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2F5597"/>
      </top>
      <bottom/>
      <diagonal/>
    </border>
    <border>
      <left/>
      <right style="thin">
        <color rgb="FFD9D9D9"/>
      </right>
      <top style="thin">
        <color rgb="FFD9D9D9"/>
      </top>
      <bottom style="thin">
        <color rgb="FF2F5597"/>
      </bottom>
      <diagonal/>
    </border>
    <border>
      <left style="thin">
        <color rgb="FF2F5597"/>
      </left>
      <right/>
      <top style="thin">
        <color rgb="FF2F5597"/>
      </top>
      <bottom/>
      <diagonal/>
    </border>
    <border>
      <left/>
      <right style="thin">
        <color rgb="FF2F5597"/>
      </right>
      <top style="thin">
        <color rgb="FF2F5597"/>
      </top>
      <bottom/>
      <diagonal/>
    </border>
    <border>
      <left style="thin">
        <color rgb="FFD9D9D9"/>
      </left>
      <right style="thin">
        <color rgb="FF2F5597"/>
      </right>
      <top/>
      <bottom style="thin">
        <color rgb="FFD9D9D9"/>
      </bottom>
      <diagonal/>
    </border>
    <border>
      <left style="thin">
        <color rgb="FFD9D9D9"/>
      </left>
      <right style="thin">
        <color rgb="FF2F5597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2F5597"/>
      </right>
      <top style="thin">
        <color rgb="FFD9D9D9"/>
      </top>
      <bottom style="thin">
        <color rgb="FF2F5597"/>
      </bottom>
      <diagonal/>
    </border>
    <border>
      <left style="thin">
        <color rgb="FF2F5597"/>
      </left>
      <right/>
      <top/>
      <bottom style="thin">
        <color rgb="FFD9D9D9"/>
      </bottom>
      <diagonal/>
    </border>
    <border>
      <left style="thin">
        <color rgb="FF2F5597"/>
      </left>
      <right/>
      <top style="thin">
        <color rgb="FFD9D9D9"/>
      </top>
      <bottom style="thin">
        <color rgb="FFD9D9D9"/>
      </bottom>
      <diagonal/>
    </border>
    <border>
      <left style="thin">
        <color rgb="FF2F5597"/>
      </left>
      <right/>
      <top style="thin">
        <color rgb="FFD9D9D9"/>
      </top>
      <bottom style="thin">
        <color rgb="FF2F5597"/>
      </bottom>
      <diagonal/>
    </border>
    <border>
      <left style="thin">
        <color rgb="FFD9D9D9"/>
      </left>
      <right style="medium">
        <color rgb="FF8EA9DB"/>
      </right>
      <top/>
      <bottom style="thin">
        <color rgb="FFD9D9D9"/>
      </bottom>
      <diagonal/>
    </border>
    <border>
      <left style="thin">
        <color rgb="FFD9D9D9"/>
      </left>
      <right style="medium">
        <color rgb="FF8EA9DB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rgb="FF8EA9DB"/>
      </right>
      <top style="thin">
        <color rgb="FFD9D9D9"/>
      </top>
      <bottom style="thin">
        <color rgb="FF2F5597"/>
      </bottom>
      <diagonal/>
    </border>
    <border>
      <left/>
      <right/>
      <top style="thin">
        <color rgb="FFD9D9D9"/>
      </top>
      <bottom style="thin">
        <color rgb="FF2F5597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2" fillId="0" borderId="0" xfId="0" applyFont="1" applyAlignment="1">
      <alignment horizontal="right"/>
    </xf>
    <xf numFmtId="0" fontId="3" fillId="0" borderId="2" xfId="0" applyFont="1" applyBorder="1"/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/>
    <xf numFmtId="164" fontId="3" fillId="3" borderId="6" xfId="0" applyNumberFormat="1" applyFont="1" applyFill="1" applyBorder="1" applyAlignment="1">
      <alignment horizontal="center" vertical="center"/>
    </xf>
    <xf numFmtId="165" fontId="3" fillId="3" borderId="6" xfId="0" applyNumberFormat="1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/>
    <xf numFmtId="0" fontId="3" fillId="0" borderId="8" xfId="0" applyFont="1" applyBorder="1"/>
    <xf numFmtId="164" fontId="3" fillId="3" borderId="6" xfId="0" applyNumberFormat="1" applyFont="1" applyFill="1" applyBorder="1"/>
    <xf numFmtId="164" fontId="3" fillId="0" borderId="0" xfId="0" applyNumberFormat="1" applyFont="1"/>
    <xf numFmtId="0" fontId="3" fillId="0" borderId="9" xfId="0" applyFont="1" applyBorder="1"/>
    <xf numFmtId="0" fontId="3" fillId="0" borderId="11" xfId="0" applyFont="1" applyBorder="1"/>
    <xf numFmtId="0" fontId="3" fillId="0" borderId="12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2" xfId="0" applyFont="1" applyBorder="1" applyAlignment="1">
      <alignment horizontal="right" vertical="top"/>
    </xf>
    <xf numFmtId="164" fontId="6" fillId="0" borderId="7" xfId="0" applyNumberFormat="1" applyFont="1" applyBorder="1"/>
    <xf numFmtId="0" fontId="3" fillId="0" borderId="12" xfId="0" applyFont="1" applyBorder="1"/>
    <xf numFmtId="166" fontId="3" fillId="0" borderId="12" xfId="0" applyNumberFormat="1" applyFont="1" applyBorder="1" applyAlignment="1">
      <alignment horizontal="right" vertical="top"/>
    </xf>
    <xf numFmtId="167" fontId="6" fillId="0" borderId="7" xfId="0" applyNumberFormat="1" applyFont="1" applyBorder="1"/>
    <xf numFmtId="166" fontId="3" fillId="0" borderId="12" xfId="0" applyNumberFormat="1" applyFont="1" applyBorder="1"/>
    <xf numFmtId="164" fontId="6" fillId="0" borderId="12" xfId="0" applyNumberFormat="1" applyFont="1" applyBorder="1"/>
    <xf numFmtId="0" fontId="3" fillId="0" borderId="13" xfId="0" applyFont="1" applyBorder="1"/>
    <xf numFmtId="0" fontId="7" fillId="5" borderId="14" xfId="0" applyFont="1" applyFill="1" applyBorder="1" applyAlignment="1">
      <alignment horizontal="right" vertical="top"/>
    </xf>
    <xf numFmtId="164" fontId="8" fillId="5" borderId="15" xfId="0" applyNumberFormat="1" applyFont="1" applyFill="1" applyBorder="1"/>
    <xf numFmtId="0" fontId="3" fillId="0" borderId="16" xfId="0" applyFont="1" applyBorder="1" applyAlignment="1">
      <alignment horizontal="right" vertical="top"/>
    </xf>
    <xf numFmtId="164" fontId="6" fillId="0" borderId="4" xfId="0" applyNumberFormat="1" applyFont="1" applyBorder="1"/>
    <xf numFmtId="0" fontId="8" fillId="6" borderId="14" xfId="0" applyFont="1" applyFill="1" applyBorder="1"/>
    <xf numFmtId="164" fontId="8" fillId="6" borderId="15" xfId="0" applyNumberFormat="1" applyFont="1" applyFill="1" applyBorder="1"/>
    <xf numFmtId="0" fontId="8" fillId="0" borderId="0" xfId="0" applyFont="1"/>
    <xf numFmtId="164" fontId="8" fillId="0" borderId="0" xfId="0" applyNumberFormat="1" applyFont="1"/>
    <xf numFmtId="164" fontId="8" fillId="0" borderId="8" xfId="0" applyNumberFormat="1" applyFont="1" applyBorder="1"/>
    <xf numFmtId="0" fontId="3" fillId="0" borderId="5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11" fillId="0" borderId="0" xfId="0" applyFont="1"/>
    <xf numFmtId="0" fontId="12" fillId="7" borderId="0" xfId="0" applyFont="1" applyFill="1"/>
    <xf numFmtId="0" fontId="14" fillId="8" borderId="22" xfId="0" applyFont="1" applyFill="1" applyBorder="1"/>
    <xf numFmtId="0" fontId="14" fillId="8" borderId="22" xfId="0" applyFont="1" applyFill="1" applyBorder="1" applyAlignment="1">
      <alignment horizontal="center"/>
    </xf>
    <xf numFmtId="0" fontId="0" fillId="0" borderId="22" xfId="0" applyBorder="1"/>
    <xf numFmtId="4" fontId="10" fillId="0" borderId="22" xfId="0" applyNumberFormat="1" applyFont="1" applyBorder="1"/>
    <xf numFmtId="4" fontId="0" fillId="0" borderId="22" xfId="0" applyNumberFormat="1" applyBorder="1"/>
    <xf numFmtId="0" fontId="14" fillId="9" borderId="22" xfId="0" applyFont="1" applyFill="1" applyBorder="1"/>
    <xf numFmtId="0" fontId="14" fillId="10" borderId="22" xfId="0" applyFont="1" applyFill="1" applyBorder="1"/>
    <xf numFmtId="4" fontId="14" fillId="10" borderId="22" xfId="0" applyNumberFormat="1" applyFont="1" applyFill="1" applyBorder="1"/>
    <xf numFmtId="4" fontId="14" fillId="9" borderId="22" xfId="0" applyNumberFormat="1" applyFont="1" applyFill="1" applyBorder="1"/>
    <xf numFmtId="0" fontId="14" fillId="11" borderId="22" xfId="0" applyFont="1" applyFill="1" applyBorder="1"/>
    <xf numFmtId="4" fontId="14" fillId="11" borderId="22" xfId="0" applyNumberFormat="1" applyFont="1" applyFill="1" applyBorder="1"/>
    <xf numFmtId="4" fontId="13" fillId="0" borderId="22" xfId="0" applyNumberFormat="1" applyFont="1" applyBorder="1"/>
    <xf numFmtId="2" fontId="10" fillId="0" borderId="22" xfId="0" applyNumberFormat="1" applyFont="1" applyBorder="1"/>
    <xf numFmtId="9" fontId="10" fillId="0" borderId="22" xfId="0" applyNumberFormat="1" applyFont="1" applyBorder="1"/>
    <xf numFmtId="0" fontId="16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4" fillId="13" borderId="23" xfId="0" applyFont="1" applyFill="1" applyBorder="1" applyAlignment="1">
      <alignment horizontal="center" vertical="center"/>
    </xf>
    <xf numFmtId="3" fontId="4" fillId="13" borderId="25" xfId="0" applyNumberFormat="1" applyFont="1" applyFill="1" applyBorder="1" applyAlignment="1">
      <alignment horizontal="center" vertical="center"/>
    </xf>
    <xf numFmtId="3" fontId="4" fillId="13" borderId="27" xfId="0" applyNumberFormat="1" applyFont="1" applyFill="1" applyBorder="1" applyAlignment="1">
      <alignment horizontal="center" vertical="center"/>
    </xf>
    <xf numFmtId="4" fontId="4" fillId="13" borderId="27" xfId="0" applyNumberFormat="1" applyFont="1" applyFill="1" applyBorder="1" applyAlignment="1">
      <alignment horizontal="center" vertical="center"/>
    </xf>
    <xf numFmtId="170" fontId="4" fillId="13" borderId="27" xfId="0" applyNumberFormat="1" applyFont="1" applyFill="1" applyBorder="1" applyAlignment="1">
      <alignment horizontal="center" vertical="center"/>
    </xf>
    <xf numFmtId="9" fontId="4" fillId="13" borderId="25" xfId="0" applyNumberFormat="1" applyFont="1" applyFill="1" applyBorder="1" applyAlignment="1">
      <alignment horizontal="center" vertical="center"/>
    </xf>
    <xf numFmtId="9" fontId="4" fillId="13" borderId="27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1" fillId="0" borderId="24" xfId="0" applyFont="1" applyBorder="1" applyAlignment="1">
      <alignment horizontal="left" vertical="center"/>
    </xf>
    <xf numFmtId="0" fontId="21" fillId="0" borderId="26" xfId="0" applyFont="1" applyBorder="1" applyAlignment="1">
      <alignment horizontal="left" vertical="center"/>
    </xf>
    <xf numFmtId="0" fontId="16" fillId="0" borderId="24" xfId="0" applyFont="1" applyBorder="1" applyAlignment="1">
      <alignment vertical="center" indent="1"/>
    </xf>
    <xf numFmtId="0" fontId="16" fillId="0" borderId="26" xfId="0" applyFont="1" applyBorder="1" applyAlignment="1">
      <alignment vertical="center" indent="1"/>
    </xf>
    <xf numFmtId="0" fontId="16" fillId="0" borderId="0" xfId="0" applyFont="1" applyAlignment="1">
      <alignment vertical="center" indent="1"/>
    </xf>
    <xf numFmtId="0" fontId="22" fillId="0" borderId="0" xfId="0" applyFont="1" applyAlignment="1">
      <alignment vertical="center"/>
    </xf>
    <xf numFmtId="0" fontId="27" fillId="8" borderId="26" xfId="0" applyFont="1" applyFill="1" applyBorder="1" applyAlignment="1">
      <alignment horizontal="center" vertical="center" wrapText="1"/>
    </xf>
    <xf numFmtId="4" fontId="16" fillId="0" borderId="26" xfId="0" applyNumberFormat="1" applyFont="1" applyBorder="1" applyAlignment="1">
      <alignment vertical="center"/>
    </xf>
    <xf numFmtId="0" fontId="27" fillId="8" borderId="46" xfId="0" applyFont="1" applyFill="1" applyBorder="1" applyAlignment="1">
      <alignment horizontal="center" vertical="center" wrapText="1"/>
    </xf>
    <xf numFmtId="4" fontId="19" fillId="9" borderId="46" xfId="0" applyNumberFormat="1" applyFont="1" applyFill="1" applyBorder="1" applyAlignment="1">
      <alignment vertical="center"/>
    </xf>
    <xf numFmtId="4" fontId="19" fillId="9" borderId="47" xfId="0" applyNumberFormat="1" applyFont="1" applyFill="1" applyBorder="1" applyAlignment="1">
      <alignment vertical="center"/>
    </xf>
    <xf numFmtId="0" fontId="19" fillId="0" borderId="49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/>
    </xf>
    <xf numFmtId="0" fontId="27" fillId="8" borderId="40" xfId="0" applyFont="1" applyFill="1" applyBorder="1" applyAlignment="1">
      <alignment horizontal="center" vertical="center" wrapText="1"/>
    </xf>
    <xf numFmtId="4" fontId="16" fillId="0" borderId="40" xfId="0" applyNumberFormat="1" applyFont="1" applyBorder="1" applyAlignment="1">
      <alignment vertical="center"/>
    </xf>
    <xf numFmtId="4" fontId="16" fillId="0" borderId="42" xfId="0" applyNumberFormat="1" applyFont="1" applyBorder="1" applyAlignment="1">
      <alignment vertical="center"/>
    </xf>
    <xf numFmtId="4" fontId="28" fillId="0" borderId="52" xfId="0" applyNumberFormat="1" applyFont="1" applyBorder="1" applyAlignment="1">
      <alignment vertical="center"/>
    </xf>
    <xf numFmtId="4" fontId="28" fillId="0" borderId="53" xfId="0" applyNumberFormat="1" applyFont="1" applyBorder="1" applyAlignment="1">
      <alignment vertical="center"/>
    </xf>
    <xf numFmtId="4" fontId="16" fillId="0" borderId="54" xfId="0" applyNumberFormat="1" applyFont="1" applyBorder="1" applyAlignment="1">
      <alignment vertical="center"/>
    </xf>
    <xf numFmtId="0" fontId="27" fillId="8" borderId="52" xfId="0" applyFont="1" applyFill="1" applyBorder="1" applyAlignment="1">
      <alignment horizontal="center" vertical="center" wrapText="1"/>
    </xf>
    <xf numFmtId="4" fontId="19" fillId="9" borderId="52" xfId="0" applyNumberFormat="1" applyFont="1" applyFill="1" applyBorder="1" applyAlignment="1">
      <alignment vertical="center"/>
    </xf>
    <xf numFmtId="4" fontId="19" fillId="9" borderId="53" xfId="0" applyNumberFormat="1" applyFont="1" applyFill="1" applyBorder="1" applyAlignment="1">
      <alignment vertical="center"/>
    </xf>
    <xf numFmtId="0" fontId="17" fillId="14" borderId="0" xfId="0" applyFont="1" applyFill="1" applyAlignment="1">
      <alignment horizontal="center"/>
    </xf>
    <xf numFmtId="0" fontId="18" fillId="15" borderId="0" xfId="0" applyFont="1" applyFill="1" applyAlignment="1">
      <alignment horizontal="center"/>
    </xf>
    <xf numFmtId="0" fontId="20" fillId="14" borderId="0" xfId="0" applyFont="1" applyFill="1" applyAlignment="1">
      <alignment indent="1"/>
    </xf>
    <xf numFmtId="0" fontId="26" fillId="8" borderId="48" xfId="0" applyFont="1" applyFill="1" applyBorder="1" applyAlignment="1">
      <alignment horizontal="center" vertical="center" wrapText="1"/>
    </xf>
    <xf numFmtId="0" fontId="26" fillId="8" borderId="49" xfId="0" applyFont="1" applyFill="1" applyBorder="1" applyAlignment="1">
      <alignment horizontal="center" vertical="center" wrapText="1"/>
    </xf>
    <xf numFmtId="0" fontId="26" fillId="8" borderId="51" xfId="0" applyFont="1" applyFill="1" applyBorder="1" applyAlignment="1">
      <alignment horizontal="center" vertical="center" wrapText="1"/>
    </xf>
    <xf numFmtId="0" fontId="26" fillId="8" borderId="52" xfId="0" applyFont="1" applyFill="1" applyBorder="1" applyAlignment="1">
      <alignment horizontal="center" vertical="center" wrapText="1"/>
    </xf>
    <xf numFmtId="0" fontId="20" fillId="12" borderId="43" xfId="0" applyFont="1" applyFill="1" applyBorder="1" applyAlignment="1">
      <alignment horizontal="center"/>
    </xf>
    <xf numFmtId="0" fontId="20" fillId="12" borderId="41" xfId="0" applyFont="1" applyFill="1" applyBorder="1" applyAlignment="1">
      <alignment horizontal="center"/>
    </xf>
    <xf numFmtId="0" fontId="25" fillId="12" borderId="41" xfId="0" applyFont="1" applyFill="1" applyBorder="1" applyAlignment="1">
      <alignment indent="1"/>
    </xf>
    <xf numFmtId="0" fontId="25" fillId="12" borderId="44" xfId="0" applyFont="1" applyFill="1" applyBorder="1" applyAlignment="1">
      <alignment indent="1"/>
    </xf>
    <xf numFmtId="0" fontId="20" fillId="16" borderId="30" xfId="0" applyFont="1" applyFill="1" applyBorder="1" applyAlignment="1">
      <alignment horizontal="center"/>
    </xf>
    <xf numFmtId="0" fontId="20" fillId="16" borderId="28" xfId="0" applyFont="1" applyFill="1" applyBorder="1" applyAlignment="1">
      <alignment horizontal="center"/>
    </xf>
    <xf numFmtId="0" fontId="20" fillId="16" borderId="33" xfId="0" applyFont="1" applyFill="1" applyBorder="1" applyAlignment="1">
      <alignment horizontal="center"/>
    </xf>
    <xf numFmtId="0" fontId="14" fillId="17" borderId="31" xfId="0" applyFont="1" applyFill="1" applyBorder="1" applyAlignment="1">
      <alignment indent="1"/>
    </xf>
    <xf numFmtId="0" fontId="14" fillId="17" borderId="0" xfId="0" applyFont="1" applyFill="1" applyBorder="1" applyAlignment="1">
      <alignment indent="1"/>
    </xf>
    <xf numFmtId="0" fontId="23" fillId="13" borderId="0" xfId="0" applyFont="1" applyFill="1" applyBorder="1" applyAlignment="1">
      <alignment horizontal="center"/>
    </xf>
    <xf numFmtId="0" fontId="14" fillId="17" borderId="36" xfId="0" applyFont="1" applyFill="1" applyBorder="1" applyAlignment="1">
      <alignment indent="1"/>
    </xf>
    <xf numFmtId="0" fontId="14" fillId="17" borderId="37" xfId="0" applyFont="1" applyFill="1" applyBorder="1" applyAlignment="1">
      <alignment indent="1"/>
    </xf>
    <xf numFmtId="0" fontId="23" fillId="13" borderId="37" xfId="0" applyFont="1" applyFill="1" applyBorder="1" applyAlignment="1">
      <alignment horizontal="center"/>
    </xf>
    <xf numFmtId="0" fontId="14" fillId="17" borderId="32" xfId="0" applyFont="1" applyFill="1" applyBorder="1" applyAlignment="1">
      <alignment indent="1"/>
    </xf>
    <xf numFmtId="0" fontId="14" fillId="17" borderId="29" xfId="0" applyFont="1" applyFill="1" applyBorder="1" applyAlignment="1">
      <alignment indent="1"/>
    </xf>
    <xf numFmtId="9" fontId="23" fillId="13" borderId="29" xfId="0" applyNumberFormat="1" applyFont="1" applyFill="1" applyBorder="1" applyAlignment="1">
      <alignment horizontal="center"/>
    </xf>
    <xf numFmtId="0" fontId="23" fillId="13" borderId="29" xfId="0" applyFont="1" applyFill="1" applyBorder="1" applyAlignment="1">
      <alignment horizontal="center"/>
    </xf>
    <xf numFmtId="169" fontId="15" fillId="0" borderId="0" xfId="0" applyNumberFormat="1" applyFont="1" applyBorder="1" applyAlignment="1">
      <alignment horizontal="right"/>
    </xf>
    <xf numFmtId="169" fontId="15" fillId="0" borderId="34" xfId="0" applyNumberFormat="1" applyFont="1" applyBorder="1" applyAlignment="1">
      <alignment horizontal="right"/>
    </xf>
    <xf numFmtId="169" fontId="14" fillId="0" borderId="37" xfId="0" applyNumberFormat="1" applyFont="1" applyBorder="1" applyAlignment="1">
      <alignment horizontal="right"/>
    </xf>
    <xf numFmtId="169" fontId="14" fillId="0" borderId="38" xfId="0" applyNumberFormat="1" applyFont="1" applyBorder="1" applyAlignment="1">
      <alignment horizontal="right"/>
    </xf>
    <xf numFmtId="169" fontId="24" fillId="16" borderId="29" xfId="0" applyNumberFormat="1" applyFont="1" applyFill="1" applyBorder="1" applyAlignment="1">
      <alignment horizontal="right"/>
    </xf>
    <xf numFmtId="169" fontId="24" fillId="16" borderId="35" xfId="0" applyNumberFormat="1" applyFont="1" applyFill="1" applyBorder="1" applyAlignment="1">
      <alignment horizontal="right"/>
    </xf>
    <xf numFmtId="0" fontId="20" fillId="14" borderId="0" xfId="0" applyFont="1" applyFill="1" applyAlignment="1">
      <alignment horizontal="center"/>
    </xf>
    <xf numFmtId="168" fontId="26" fillId="8" borderId="24" xfId="0" applyNumberFormat="1" applyFont="1" applyFill="1" applyBorder="1" applyAlignment="1">
      <alignment horizontal="center" wrapText="1"/>
    </xf>
    <xf numFmtId="168" fontId="26" fillId="8" borderId="51" xfId="0" applyNumberFormat="1" applyFont="1" applyFill="1" applyBorder="1" applyAlignment="1">
      <alignment horizontal="center" wrapText="1"/>
    </xf>
    <xf numFmtId="168" fontId="26" fillId="8" borderId="39" xfId="0" applyNumberFormat="1" applyFont="1" applyFill="1" applyBorder="1" applyAlignment="1">
      <alignment horizontal="center" wrapText="1"/>
    </xf>
    <xf numFmtId="168" fontId="26" fillId="8" borderId="45" xfId="0" applyNumberFormat="1" applyFont="1" applyFill="1" applyBorder="1" applyAlignment="1">
      <alignment horizontal="center" wrapText="1"/>
    </xf>
    <xf numFmtId="0" fontId="29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5" fillId="0" borderId="10" xfId="0" applyFont="1" applyBorder="1"/>
    <xf numFmtId="0" fontId="9" fillId="0" borderId="20" xfId="0" applyFont="1" applyBorder="1" applyAlignment="1">
      <alignment horizontal="left" vertical="top"/>
    </xf>
    <xf numFmtId="0" fontId="5" fillId="0" borderId="1" xfId="0" applyFont="1" applyBorder="1"/>
    <xf numFmtId="0" fontId="5" fillId="0" borderId="21" xfId="0" applyFont="1" applyBorder="1"/>
    <xf numFmtId="0" fontId="3" fillId="0" borderId="17" xfId="0" applyFont="1" applyBorder="1" applyAlignment="1">
      <alignment horizontal="left" vertical="top"/>
    </xf>
    <xf numFmtId="0" fontId="5" fillId="0" borderId="18" xfId="0" applyFont="1" applyBorder="1"/>
    <xf numFmtId="0" fontId="5" fillId="0" borderId="19" xfId="0" applyFont="1" applyBorder="1"/>
    <xf numFmtId="0" fontId="3" fillId="0" borderId="5" xfId="0" applyFont="1" applyBorder="1" applyAlignment="1">
      <alignment horizontal="left" vertical="top"/>
    </xf>
    <xf numFmtId="0" fontId="0" fillId="0" borderId="0" xfId="0"/>
    <xf numFmtId="0" fontId="5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hham\Downloads\Toplant&#305;\BETON%20MAL&#304;YET.xlsx" TargetMode="External"/><Relationship Id="rId1" Type="http://schemas.openxmlformats.org/officeDocument/2006/relationships/externalLinkPath" Target="file:///C:\Users\ohham\Downloads\Toplant&#305;\BETON%20MAL&#304;Y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YLIK ÖZET"/>
      <sheetName val="BETON MALİYET BOLVADİN"/>
      <sheetName val="Sayfa1"/>
      <sheetName val="BETON MALİYET HAMİDİYE"/>
      <sheetName val="Sayfa3"/>
      <sheetName val="BETON MALİYET BOLVADİN (2)"/>
      <sheetName val="POMPALI OCAK"/>
      <sheetName val="POMPALI ŞUBAT"/>
      <sheetName val="POMPALI MART"/>
      <sheetName val="POMPALI NİSAN"/>
      <sheetName val="POMPALI MAYIS"/>
      <sheetName val="POMPALI HAZİRAN"/>
      <sheetName val="MİKSERLİ OCAK"/>
      <sheetName val="MİKSERLİ ŞUBAT"/>
      <sheetName val="MİKSERLİ MART"/>
      <sheetName val="MİKSERLİ NİSAN"/>
      <sheetName val="MİKSERLİ MAYIS"/>
      <sheetName val="MİKSERLİ HAZİRAN"/>
      <sheetName val="SANTRAL ALTI OCAK"/>
      <sheetName val="SANTRAL ALTI ŞUBAT"/>
      <sheetName val="SANTRAL ALTI MART"/>
      <sheetName val="SANTRAL ALTI NİSAN"/>
      <sheetName val="SANTRAL ALTI MAYIS"/>
      <sheetName val="EKİM"/>
      <sheetName val="3900"/>
      <sheetName val="4200"/>
      <sheetName val="EKİM (2)"/>
    </sheetNames>
    <sheetDataSet>
      <sheetData sheetId="0"/>
      <sheetData sheetId="1"/>
      <sheetData sheetId="2"/>
      <sheetData sheetId="3"/>
      <sheetData sheetId="4">
        <row r="7">
          <cell r="C7">
            <v>0.62</v>
          </cell>
          <cell r="F7">
            <v>70000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3C8A1EC-0DA8-4B77-8999-187A64EE6A70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1b595dd-71b6-444c-84e8-1af54cf13e4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1A5AA-36DE-4946-B2B7-D19BBE1D7567}">
  <sheetPr>
    <pageSetUpPr fitToPage="1"/>
  </sheetPr>
  <dimension ref="A1:N60"/>
  <sheetViews>
    <sheetView showGridLines="0" tabSelected="1" zoomScale="72" workbookViewId="0">
      <selection activeCell="O9" sqref="O9"/>
    </sheetView>
  </sheetViews>
  <sheetFormatPr defaultRowHeight="14.4" x14ac:dyDescent="0.3"/>
  <cols>
    <col min="1" max="1" width="2.21875" customWidth="1"/>
    <col min="2" max="2" width="38.88671875" customWidth="1"/>
    <col min="3" max="3" width="17.5546875" customWidth="1"/>
    <col min="4" max="4" width="16.6640625" customWidth="1"/>
    <col min="5" max="5" width="4.109375" customWidth="1"/>
    <col min="6" max="6" width="15.77734375" customWidth="1"/>
    <col min="7" max="7" width="18.5546875" customWidth="1"/>
    <col min="8" max="13" width="17" customWidth="1"/>
  </cols>
  <sheetData>
    <row r="1" spans="1:14" ht="19.95" customHeight="1" x14ac:dyDescent="0.3">
      <c r="A1" s="56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</row>
    <row r="2" spans="1:14" ht="36" customHeight="1" x14ac:dyDescent="0.45">
      <c r="A2" s="56"/>
      <c r="B2" s="88" t="s">
        <v>126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56"/>
    </row>
    <row r="3" spans="1:14" ht="25.95" customHeight="1" x14ac:dyDescent="0.3">
      <c r="A3" s="56"/>
      <c r="B3" s="89" t="s">
        <v>127</v>
      </c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56"/>
    </row>
    <row r="4" spans="1:14" ht="19.95" customHeight="1" thickBot="1" x14ac:dyDescent="0.35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</row>
    <row r="5" spans="1:14" ht="24" customHeight="1" x14ac:dyDescent="0.3">
      <c r="A5" s="56"/>
      <c r="B5" s="57" t="s">
        <v>54</v>
      </c>
      <c r="C5" s="58" t="s">
        <v>0</v>
      </c>
      <c r="D5" s="65"/>
      <c r="E5" s="56"/>
      <c r="F5" s="99" t="s">
        <v>152</v>
      </c>
      <c r="G5" s="100"/>
      <c r="H5" s="100"/>
      <c r="I5" s="100"/>
      <c r="J5" s="100"/>
      <c r="K5" s="100"/>
      <c r="L5" s="100"/>
      <c r="M5" s="101"/>
      <c r="N5" s="56"/>
    </row>
    <row r="6" spans="1:14" ht="25.95" customHeight="1" x14ac:dyDescent="0.3">
      <c r="A6" s="56"/>
      <c r="B6" s="56"/>
      <c r="C6" s="56"/>
      <c r="D6" s="56"/>
      <c r="E6" s="56"/>
      <c r="F6" s="102" t="s">
        <v>153</v>
      </c>
      <c r="G6" s="103"/>
      <c r="H6" s="104" t="s">
        <v>122</v>
      </c>
      <c r="I6" s="104"/>
      <c r="J6" s="103" t="s">
        <v>154</v>
      </c>
      <c r="K6" s="103"/>
      <c r="L6" s="112">
        <f>INDEX(Hesaplama!$C$45:$H$47,MATCH($H$6,Hesaplama!$B$45:$B$47,0),MATCH($H$7,Hesaplama!$C$23:$H$23,0))</f>
        <v>2723.2304619007896</v>
      </c>
      <c r="M6" s="113"/>
      <c r="N6" s="56"/>
    </row>
    <row r="7" spans="1:14" ht="25.95" customHeight="1" x14ac:dyDescent="0.3">
      <c r="A7" s="56"/>
      <c r="B7" s="90" t="s">
        <v>128</v>
      </c>
      <c r="C7" s="90"/>
      <c r="D7" s="90"/>
      <c r="E7" s="56"/>
      <c r="F7" s="105" t="s">
        <v>124</v>
      </c>
      <c r="G7" s="106"/>
      <c r="H7" s="107" t="s">
        <v>22</v>
      </c>
      <c r="I7" s="107"/>
      <c r="J7" s="106" t="s">
        <v>155</v>
      </c>
      <c r="K7" s="106"/>
      <c r="L7" s="114">
        <f>L6*(1+H8)</f>
        <v>3131.7150311859077</v>
      </c>
      <c r="M7" s="115"/>
      <c r="N7" s="56"/>
    </row>
    <row r="8" spans="1:14" ht="25.95" customHeight="1" thickBot="1" x14ac:dyDescent="0.4">
      <c r="A8" s="56"/>
      <c r="B8" s="68" t="s">
        <v>105</v>
      </c>
      <c r="C8" s="59">
        <v>4300</v>
      </c>
      <c r="D8" s="66" t="s">
        <v>132</v>
      </c>
      <c r="E8" s="56"/>
      <c r="F8" s="108" t="s">
        <v>156</v>
      </c>
      <c r="G8" s="109"/>
      <c r="H8" s="110">
        <v>0.15</v>
      </c>
      <c r="I8" s="111"/>
      <c r="J8" s="109" t="s">
        <v>157</v>
      </c>
      <c r="K8" s="109"/>
      <c r="L8" s="116">
        <f>L7*(1+$C$34)</f>
        <v>3758.058037423089</v>
      </c>
      <c r="M8" s="117"/>
      <c r="N8" s="56"/>
    </row>
    <row r="9" spans="1:14" ht="19.95" customHeight="1" x14ac:dyDescent="0.3">
      <c r="A9" s="56"/>
      <c r="B9" s="69" t="s">
        <v>106</v>
      </c>
      <c r="C9" s="60">
        <v>200</v>
      </c>
      <c r="D9" s="67" t="s">
        <v>132</v>
      </c>
      <c r="E9" s="56"/>
      <c r="F9" s="56"/>
      <c r="G9" s="56"/>
      <c r="H9" s="56"/>
      <c r="I9" s="56"/>
      <c r="J9" s="56"/>
      <c r="K9" s="56"/>
      <c r="L9" s="56"/>
      <c r="M9" s="56"/>
      <c r="N9" s="56"/>
    </row>
    <row r="10" spans="1:14" ht="24" customHeight="1" x14ac:dyDescent="0.3">
      <c r="A10" s="56"/>
      <c r="B10" s="69" t="s">
        <v>107</v>
      </c>
      <c r="C10" s="61">
        <v>0.62</v>
      </c>
      <c r="D10" s="67" t="s">
        <v>133</v>
      </c>
      <c r="E10" s="56"/>
      <c r="F10" s="118" t="s">
        <v>158</v>
      </c>
      <c r="G10" s="118"/>
      <c r="H10" s="118"/>
      <c r="I10" s="118"/>
      <c r="J10" s="118"/>
      <c r="K10" s="118"/>
      <c r="L10" s="118"/>
      <c r="M10" s="118"/>
      <c r="N10" s="56"/>
    </row>
    <row r="11" spans="1:14" ht="19.95" customHeight="1" x14ac:dyDescent="0.3">
      <c r="A11" s="56"/>
      <c r="B11" s="69" t="s">
        <v>134</v>
      </c>
      <c r="C11" s="61">
        <v>49.16</v>
      </c>
      <c r="D11" s="67" t="s">
        <v>135</v>
      </c>
      <c r="E11" s="56"/>
      <c r="F11" s="56"/>
      <c r="G11" s="56"/>
      <c r="H11" s="56"/>
      <c r="I11" s="56"/>
      <c r="J11" s="56"/>
      <c r="K11" s="56"/>
      <c r="L11" s="56"/>
      <c r="M11" s="56"/>
      <c r="N11" s="56"/>
    </row>
    <row r="12" spans="1:14" ht="24" customHeight="1" x14ac:dyDescent="0.3">
      <c r="A12" s="56"/>
      <c r="B12" s="69" t="s">
        <v>136</v>
      </c>
      <c r="C12" s="62">
        <v>94.995000000000005</v>
      </c>
      <c r="D12" s="67" t="s">
        <v>137</v>
      </c>
      <c r="E12" s="56"/>
      <c r="F12" s="95" t="s">
        <v>2</v>
      </c>
      <c r="G12" s="96"/>
      <c r="H12" s="97" t="s">
        <v>159</v>
      </c>
      <c r="I12" s="97"/>
      <c r="J12" s="97"/>
      <c r="K12" s="97"/>
      <c r="L12" s="97"/>
      <c r="M12" s="98"/>
      <c r="N12" s="56"/>
    </row>
    <row r="13" spans="1:14" ht="19.95" customHeight="1" x14ac:dyDescent="0.3">
      <c r="A13" s="56"/>
      <c r="B13" s="69" t="s">
        <v>111</v>
      </c>
      <c r="C13" s="61">
        <v>2.92</v>
      </c>
      <c r="D13" s="67" t="s">
        <v>138</v>
      </c>
      <c r="E13" s="56"/>
      <c r="F13" s="91" t="s">
        <v>124</v>
      </c>
      <c r="G13" s="93" t="s">
        <v>154</v>
      </c>
      <c r="H13" s="119">
        <f>$C$31</f>
        <v>0.1</v>
      </c>
      <c r="I13" s="120"/>
      <c r="J13" s="119">
        <f>$C$32</f>
        <v>0.15</v>
      </c>
      <c r="K13" s="120"/>
      <c r="L13" s="121">
        <f>$C$33</f>
        <v>0.2</v>
      </c>
      <c r="M13" s="122"/>
      <c r="N13" s="56"/>
    </row>
    <row r="14" spans="1:14" ht="19.95" customHeight="1" x14ac:dyDescent="0.3">
      <c r="A14" s="56"/>
      <c r="B14" s="69" t="s">
        <v>112</v>
      </c>
      <c r="C14" s="62">
        <v>12.175000000000001</v>
      </c>
      <c r="D14" s="67" t="s">
        <v>132</v>
      </c>
      <c r="E14" s="56"/>
      <c r="F14" s="92"/>
      <c r="G14" s="94"/>
      <c r="H14" s="72" t="s">
        <v>160</v>
      </c>
      <c r="I14" s="85" t="s">
        <v>161</v>
      </c>
      <c r="J14" s="72" t="s">
        <v>160</v>
      </c>
      <c r="K14" s="85" t="s">
        <v>161</v>
      </c>
      <c r="L14" s="79" t="s">
        <v>160</v>
      </c>
      <c r="M14" s="74" t="s">
        <v>161</v>
      </c>
      <c r="N14" s="56"/>
    </row>
    <row r="15" spans="1:14" ht="19.95" customHeight="1" x14ac:dyDescent="0.3">
      <c r="A15" s="56"/>
      <c r="B15" s="69" t="s">
        <v>139</v>
      </c>
      <c r="C15" s="60">
        <v>70000</v>
      </c>
      <c r="D15" s="67" t="s">
        <v>140</v>
      </c>
      <c r="E15" s="56"/>
      <c r="F15" s="77" t="s">
        <v>20</v>
      </c>
      <c r="G15" s="82">
        <f>INDEX(Hesaplama!$C$45:$H$47,MATCH($F$12,Hesaplama!$B$45:$B$47,0),MATCH($F15,Hesaplama!$C$23:$H$23,0))</f>
        <v>2174.1513657315786</v>
      </c>
      <c r="H15" s="73">
        <f t="shared" ref="H15:H20" si="0">$G15*(1+H$13)</f>
        <v>2391.5665023047368</v>
      </c>
      <c r="I15" s="86">
        <f t="shared" ref="I15:I20" si="1">H15*(1+$C$34)</f>
        <v>2869.879802765684</v>
      </c>
      <c r="J15" s="73">
        <f t="shared" ref="J15:J20" si="2">$G15*(1+J$13)</f>
        <v>2500.2740705913152</v>
      </c>
      <c r="K15" s="86">
        <f t="shared" ref="K15:K20" si="3">J15*(1+$C$34)</f>
        <v>3000.3288847095782</v>
      </c>
      <c r="L15" s="80">
        <f t="shared" ref="L15:L20" si="4">$G15*(1+L$13)</f>
        <v>2608.9816388778941</v>
      </c>
      <c r="M15" s="75">
        <f t="shared" ref="M15:M20" si="5">L15*(1+$C$34)</f>
        <v>3130.777966653473</v>
      </c>
      <c r="N15" s="56"/>
    </row>
    <row r="16" spans="1:14" ht="19.95" customHeight="1" x14ac:dyDescent="0.3">
      <c r="A16" s="56"/>
      <c r="B16" s="70"/>
      <c r="C16" s="56"/>
      <c r="D16" s="56"/>
      <c r="E16" s="56"/>
      <c r="F16" s="77" t="s">
        <v>21</v>
      </c>
      <c r="G16" s="82">
        <f>INDEX(Hesaplama!$C$45:$H$47,MATCH($F$12,Hesaplama!$B$45:$B$47,0),MATCH($F16,Hesaplama!$C$23:$H$23,0))</f>
        <v>2439.1856268470528</v>
      </c>
      <c r="H16" s="73">
        <f t="shared" si="0"/>
        <v>2683.1041895317585</v>
      </c>
      <c r="I16" s="86">
        <f t="shared" si="1"/>
        <v>3219.7250274381099</v>
      </c>
      <c r="J16" s="73">
        <f t="shared" si="2"/>
        <v>2805.0634708741104</v>
      </c>
      <c r="K16" s="86">
        <f t="shared" si="3"/>
        <v>3366.0761650489326</v>
      </c>
      <c r="L16" s="80">
        <f t="shared" si="4"/>
        <v>2927.0227522164632</v>
      </c>
      <c r="M16" s="75">
        <f t="shared" si="5"/>
        <v>3512.4273026597557</v>
      </c>
      <c r="N16" s="56"/>
    </row>
    <row r="17" spans="1:14" ht="24" customHeight="1" x14ac:dyDescent="0.3">
      <c r="A17" s="56"/>
      <c r="B17" s="90" t="s">
        <v>129</v>
      </c>
      <c r="C17" s="90"/>
      <c r="D17" s="90"/>
      <c r="E17" s="56"/>
      <c r="F17" s="77" t="s">
        <v>22</v>
      </c>
      <c r="G17" s="82">
        <f>INDEX(Hesaplama!$C$45:$H$47,MATCH($F$12,Hesaplama!$B$45:$B$47,0),MATCH($F17,Hesaplama!$C$23:$H$23,0))</f>
        <v>2796.0441294007896</v>
      </c>
      <c r="H17" s="73">
        <f t="shared" si="0"/>
        <v>3075.648542340869</v>
      </c>
      <c r="I17" s="86">
        <f t="shared" si="1"/>
        <v>3690.7782508090427</v>
      </c>
      <c r="J17" s="73">
        <f t="shared" si="2"/>
        <v>3215.450748810908</v>
      </c>
      <c r="K17" s="86">
        <f t="shared" si="3"/>
        <v>3858.5408985730892</v>
      </c>
      <c r="L17" s="80">
        <f t="shared" si="4"/>
        <v>3355.2529552809474</v>
      </c>
      <c r="M17" s="75">
        <f t="shared" si="5"/>
        <v>4026.3035463371366</v>
      </c>
      <c r="N17" s="56"/>
    </row>
    <row r="18" spans="1:14" ht="19.95" customHeight="1" x14ac:dyDescent="0.3">
      <c r="A18" s="56"/>
      <c r="B18" s="68" t="s">
        <v>141</v>
      </c>
      <c r="C18" s="59">
        <v>24</v>
      </c>
      <c r="D18" s="66" t="s">
        <v>142</v>
      </c>
      <c r="E18" s="56"/>
      <c r="F18" s="77" t="s">
        <v>23</v>
      </c>
      <c r="G18" s="82">
        <f>INDEX(Hesaplama!$C$45:$H$47,MATCH($F$12,Hesaplama!$B$45:$B$47,0),MATCH($F18,Hesaplama!$C$23:$H$23,0))</f>
        <v>2977.1919138536846</v>
      </c>
      <c r="H18" s="73">
        <f t="shared" si="0"/>
        <v>3274.9111052390531</v>
      </c>
      <c r="I18" s="86">
        <f t="shared" si="1"/>
        <v>3929.8933262868636</v>
      </c>
      <c r="J18" s="73">
        <f t="shared" si="2"/>
        <v>3423.7707009317369</v>
      </c>
      <c r="K18" s="86">
        <f t="shared" si="3"/>
        <v>4108.5248411180837</v>
      </c>
      <c r="L18" s="80">
        <f t="shared" si="4"/>
        <v>3572.6302966244216</v>
      </c>
      <c r="M18" s="75">
        <f t="shared" si="5"/>
        <v>4287.1563559493061</v>
      </c>
      <c r="N18" s="56"/>
    </row>
    <row r="19" spans="1:14" ht="19.95" customHeight="1" x14ac:dyDescent="0.3">
      <c r="A19" s="56"/>
      <c r="B19" s="69" t="s">
        <v>143</v>
      </c>
      <c r="C19" s="60">
        <v>21</v>
      </c>
      <c r="D19" s="67" t="s">
        <v>142</v>
      </c>
      <c r="E19" s="56"/>
      <c r="F19" s="77" t="s">
        <v>24</v>
      </c>
      <c r="G19" s="82">
        <f>INDEX(Hesaplama!$C$45:$H$47,MATCH($F$12,Hesaplama!$B$45:$B$47,0),MATCH($F19,Hesaplama!$C$23:$H$23,0))</f>
        <v>3113.6393549376312</v>
      </c>
      <c r="H19" s="73">
        <f t="shared" si="0"/>
        <v>3425.0032904313948</v>
      </c>
      <c r="I19" s="86">
        <f t="shared" si="1"/>
        <v>4110.003948517674</v>
      </c>
      <c r="J19" s="73">
        <f t="shared" si="2"/>
        <v>3580.6852581782755</v>
      </c>
      <c r="K19" s="86">
        <f t="shared" si="3"/>
        <v>4296.8223098139306</v>
      </c>
      <c r="L19" s="80">
        <f t="shared" si="4"/>
        <v>3736.3672259251571</v>
      </c>
      <c r="M19" s="75">
        <f t="shared" si="5"/>
        <v>4483.6406711101881</v>
      </c>
      <c r="N19" s="56"/>
    </row>
    <row r="20" spans="1:14" ht="19.95" customHeight="1" x14ac:dyDescent="0.3">
      <c r="A20" s="56"/>
      <c r="B20" s="69" t="s">
        <v>144</v>
      </c>
      <c r="C20" s="60">
        <v>140</v>
      </c>
      <c r="D20" s="67" t="s">
        <v>145</v>
      </c>
      <c r="E20" s="56"/>
      <c r="F20" s="78" t="s">
        <v>25</v>
      </c>
      <c r="G20" s="83">
        <f>INDEX(Hesaplama!$C$45:$H$47,MATCH($F$12,Hesaplama!$B$45:$B$47,0),MATCH($F20,Hesaplama!$C$23:$H$23,0))</f>
        <v>3296.6121257060531</v>
      </c>
      <c r="H20" s="84">
        <f t="shared" si="0"/>
        <v>3626.2733382766587</v>
      </c>
      <c r="I20" s="87">
        <f t="shared" si="1"/>
        <v>4351.5280059319903</v>
      </c>
      <c r="J20" s="84">
        <f t="shared" si="2"/>
        <v>3791.1039445619608</v>
      </c>
      <c r="K20" s="87">
        <f t="shared" si="3"/>
        <v>4549.3247334743528</v>
      </c>
      <c r="L20" s="81">
        <f t="shared" si="4"/>
        <v>3955.9345508472634</v>
      </c>
      <c r="M20" s="76">
        <f t="shared" si="5"/>
        <v>4747.1214610167162</v>
      </c>
      <c r="N20" s="56"/>
    </row>
    <row r="21" spans="1:14" ht="19.95" customHeight="1" x14ac:dyDescent="0.3">
      <c r="A21" s="56"/>
      <c r="B21" s="69" t="s">
        <v>146</v>
      </c>
      <c r="C21" s="60">
        <v>10</v>
      </c>
      <c r="D21" s="67" t="s">
        <v>147</v>
      </c>
      <c r="E21" s="56"/>
      <c r="F21" s="56"/>
      <c r="G21" s="56"/>
      <c r="H21" s="56"/>
      <c r="I21" s="56"/>
      <c r="J21" s="56"/>
      <c r="K21" s="56"/>
      <c r="L21" s="56"/>
      <c r="M21" s="56"/>
      <c r="N21" s="56"/>
    </row>
    <row r="22" spans="1:14" ht="19.95" customHeight="1" x14ac:dyDescent="0.3">
      <c r="A22" s="56"/>
      <c r="B22" s="70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</row>
    <row r="23" spans="1:14" ht="24" customHeight="1" x14ac:dyDescent="0.3">
      <c r="A23" s="56"/>
      <c r="B23" s="90" t="s">
        <v>130</v>
      </c>
      <c r="C23" s="90"/>
      <c r="D23" s="90"/>
      <c r="E23" s="56"/>
      <c r="F23" s="95" t="s">
        <v>122</v>
      </c>
      <c r="G23" s="96"/>
      <c r="H23" s="97" t="s">
        <v>162</v>
      </c>
      <c r="I23" s="97"/>
      <c r="J23" s="97"/>
      <c r="K23" s="97"/>
      <c r="L23" s="97"/>
      <c r="M23" s="98"/>
      <c r="N23" s="56"/>
    </row>
    <row r="24" spans="1:14" ht="19.95" customHeight="1" x14ac:dyDescent="0.3">
      <c r="A24" s="56"/>
      <c r="B24" s="68" t="s">
        <v>62</v>
      </c>
      <c r="C24" s="59">
        <v>0</v>
      </c>
      <c r="D24" s="66" t="s">
        <v>148</v>
      </c>
      <c r="E24" s="56"/>
      <c r="F24" s="91" t="s">
        <v>124</v>
      </c>
      <c r="G24" s="93" t="s">
        <v>154</v>
      </c>
      <c r="H24" s="119">
        <f>$C$31</f>
        <v>0.1</v>
      </c>
      <c r="I24" s="120"/>
      <c r="J24" s="119">
        <f>$C$32</f>
        <v>0.15</v>
      </c>
      <c r="K24" s="120"/>
      <c r="L24" s="121">
        <f>$C$33</f>
        <v>0.2</v>
      </c>
      <c r="M24" s="122"/>
      <c r="N24" s="56"/>
    </row>
    <row r="25" spans="1:14" ht="19.95" customHeight="1" x14ac:dyDescent="0.3">
      <c r="A25" s="56"/>
      <c r="B25" s="69" t="s">
        <v>149</v>
      </c>
      <c r="C25" s="60">
        <v>0</v>
      </c>
      <c r="D25" s="67" t="s">
        <v>148</v>
      </c>
      <c r="E25" s="56"/>
      <c r="F25" s="92"/>
      <c r="G25" s="94"/>
      <c r="H25" s="72" t="s">
        <v>160</v>
      </c>
      <c r="I25" s="85" t="s">
        <v>161</v>
      </c>
      <c r="J25" s="72" t="s">
        <v>160</v>
      </c>
      <c r="K25" s="85" t="s">
        <v>161</v>
      </c>
      <c r="L25" s="79" t="s">
        <v>160</v>
      </c>
      <c r="M25" s="74" t="s">
        <v>161</v>
      </c>
      <c r="N25" s="56"/>
    </row>
    <row r="26" spans="1:14" ht="19.95" customHeight="1" x14ac:dyDescent="0.3">
      <c r="A26" s="56"/>
      <c r="B26" s="69" t="s">
        <v>63</v>
      </c>
      <c r="C26" s="60">
        <v>0</v>
      </c>
      <c r="D26" s="67" t="s">
        <v>148</v>
      </c>
      <c r="E26" s="56"/>
      <c r="F26" s="77" t="s">
        <v>20</v>
      </c>
      <c r="G26" s="82">
        <f>INDEX(Hesaplama!$C$45:$H$47,MATCH($F$23,Hesaplama!$B$45:$B$47,0),MATCH($F26,Hesaplama!$C$23:$H$23,0))</f>
        <v>2101.337698231579</v>
      </c>
      <c r="H26" s="73">
        <f t="shared" ref="H26:H31" si="6">$G26*(1+H$24)</f>
        <v>2311.4714680547372</v>
      </c>
      <c r="I26" s="86">
        <f t="shared" ref="I26:I31" si="7">H26*(1+$C$34)</f>
        <v>2773.7657616656847</v>
      </c>
      <c r="J26" s="73">
        <f t="shared" ref="J26:J31" si="8">$G26*(1+J$24)</f>
        <v>2416.5383529663159</v>
      </c>
      <c r="K26" s="86">
        <f t="shared" ref="K26:K31" si="9">J26*(1+$C$34)</f>
        <v>2899.846023559579</v>
      </c>
      <c r="L26" s="80">
        <f t="shared" ref="L26:L31" si="10">$G26*(1+L$24)</f>
        <v>2521.6052378778945</v>
      </c>
      <c r="M26" s="75">
        <f t="shared" ref="M26:M31" si="11">L26*(1+$C$34)</f>
        <v>3025.9262854534732</v>
      </c>
      <c r="N26" s="56"/>
    </row>
    <row r="27" spans="1:14" ht="19.95" customHeight="1" x14ac:dyDescent="0.3">
      <c r="A27" s="56"/>
      <c r="B27" s="69" t="s">
        <v>64</v>
      </c>
      <c r="C27" s="60">
        <v>0</v>
      </c>
      <c r="D27" s="67" t="s">
        <v>148</v>
      </c>
      <c r="E27" s="56"/>
      <c r="F27" s="77" t="s">
        <v>21</v>
      </c>
      <c r="G27" s="82">
        <f>INDEX(Hesaplama!$C$45:$H$47,MATCH($F$23,Hesaplama!$B$45:$B$47,0),MATCH($F27,Hesaplama!$C$23:$H$23,0))</f>
        <v>2366.3719593470528</v>
      </c>
      <c r="H27" s="73">
        <f t="shared" si="6"/>
        <v>2603.0091552817585</v>
      </c>
      <c r="I27" s="86">
        <f t="shared" si="7"/>
        <v>3123.6109863381103</v>
      </c>
      <c r="J27" s="73">
        <f t="shared" si="8"/>
        <v>2721.3277532491106</v>
      </c>
      <c r="K27" s="86">
        <f t="shared" si="9"/>
        <v>3265.5933038989328</v>
      </c>
      <c r="L27" s="80">
        <f t="shared" si="10"/>
        <v>2839.6463512164632</v>
      </c>
      <c r="M27" s="75">
        <f t="shared" si="11"/>
        <v>3407.5756214597559</v>
      </c>
      <c r="N27" s="56"/>
    </row>
    <row r="28" spans="1:14" ht="19.95" customHeight="1" x14ac:dyDescent="0.3">
      <c r="A28" s="56"/>
      <c r="B28" s="69" t="s">
        <v>65</v>
      </c>
      <c r="C28" s="60">
        <v>0</v>
      </c>
      <c r="D28" s="67" t="s">
        <v>148</v>
      </c>
      <c r="E28" s="56"/>
      <c r="F28" s="77" t="s">
        <v>22</v>
      </c>
      <c r="G28" s="82">
        <f>INDEX(Hesaplama!$C$45:$H$47,MATCH($F$23,Hesaplama!$B$45:$B$47,0),MATCH($F28,Hesaplama!$C$23:$H$23,0))</f>
        <v>2723.2304619007896</v>
      </c>
      <c r="H28" s="73">
        <f t="shared" si="6"/>
        <v>2995.5535080908689</v>
      </c>
      <c r="I28" s="86">
        <f t="shared" si="7"/>
        <v>3594.6642097090426</v>
      </c>
      <c r="J28" s="73">
        <f t="shared" si="8"/>
        <v>3131.7150311859077</v>
      </c>
      <c r="K28" s="86">
        <f t="shared" si="9"/>
        <v>3758.058037423089</v>
      </c>
      <c r="L28" s="80">
        <f t="shared" si="10"/>
        <v>3267.8765542809474</v>
      </c>
      <c r="M28" s="75">
        <f t="shared" si="11"/>
        <v>3921.4518651371368</v>
      </c>
      <c r="N28" s="56"/>
    </row>
    <row r="29" spans="1:14" ht="19.95" customHeight="1" x14ac:dyDescent="0.3">
      <c r="A29" s="56"/>
      <c r="B29" s="70"/>
      <c r="C29" s="56"/>
      <c r="D29" s="56"/>
      <c r="E29" s="56"/>
      <c r="F29" s="77" t="s">
        <v>23</v>
      </c>
      <c r="G29" s="82">
        <f>INDEX(Hesaplama!$C$45:$H$47,MATCH($F$23,Hesaplama!$B$45:$B$47,0),MATCH($F29,Hesaplama!$C$23:$H$23,0))</f>
        <v>2904.3782463536845</v>
      </c>
      <c r="H29" s="73">
        <f t="shared" si="6"/>
        <v>3194.8160709890531</v>
      </c>
      <c r="I29" s="86">
        <f t="shared" si="7"/>
        <v>3833.7792851868635</v>
      </c>
      <c r="J29" s="73">
        <f t="shared" si="8"/>
        <v>3340.0349833067371</v>
      </c>
      <c r="K29" s="86">
        <f t="shared" si="9"/>
        <v>4008.0419799680844</v>
      </c>
      <c r="L29" s="80">
        <f t="shared" si="10"/>
        <v>3485.2538956244211</v>
      </c>
      <c r="M29" s="75">
        <f t="shared" si="11"/>
        <v>4182.3046747493054</v>
      </c>
      <c r="N29" s="56"/>
    </row>
    <row r="30" spans="1:14" ht="24" customHeight="1" x14ac:dyDescent="0.3">
      <c r="A30" s="56"/>
      <c r="B30" s="90" t="s">
        <v>131</v>
      </c>
      <c r="C30" s="90"/>
      <c r="D30" s="90"/>
      <c r="E30" s="56"/>
      <c r="F30" s="77" t="s">
        <v>24</v>
      </c>
      <c r="G30" s="82">
        <f>INDEX(Hesaplama!$C$45:$H$47,MATCH($F$23,Hesaplama!$B$45:$B$47,0),MATCH($F30,Hesaplama!$C$23:$H$23,0))</f>
        <v>3040.8256874376316</v>
      </c>
      <c r="H30" s="73">
        <f t="shared" si="6"/>
        <v>3344.9082561813948</v>
      </c>
      <c r="I30" s="86">
        <f t="shared" si="7"/>
        <v>4013.8899074176734</v>
      </c>
      <c r="J30" s="73">
        <f t="shared" si="8"/>
        <v>3496.9495405532762</v>
      </c>
      <c r="K30" s="86">
        <f t="shared" si="9"/>
        <v>4196.3394486639309</v>
      </c>
      <c r="L30" s="80">
        <f t="shared" si="10"/>
        <v>3648.990824925158</v>
      </c>
      <c r="M30" s="75">
        <f t="shared" si="11"/>
        <v>4378.7889899101892</v>
      </c>
      <c r="N30" s="56"/>
    </row>
    <row r="31" spans="1:14" ht="19.95" customHeight="1" x14ac:dyDescent="0.3">
      <c r="A31" s="56"/>
      <c r="B31" s="68" t="s">
        <v>66</v>
      </c>
      <c r="C31" s="63">
        <v>0.1</v>
      </c>
      <c r="D31" s="66" t="s">
        <v>150</v>
      </c>
      <c r="E31" s="56"/>
      <c r="F31" s="78" t="s">
        <v>25</v>
      </c>
      <c r="G31" s="83">
        <f>INDEX(Hesaplama!$C$45:$H$47,MATCH($F$23,Hesaplama!$B$45:$B$47,0),MATCH($F31,Hesaplama!$C$23:$H$23,0))</f>
        <v>3223.7984582060535</v>
      </c>
      <c r="H31" s="84">
        <f t="shared" si="6"/>
        <v>3546.1783040266591</v>
      </c>
      <c r="I31" s="87">
        <f t="shared" si="7"/>
        <v>4255.4139648319906</v>
      </c>
      <c r="J31" s="84">
        <f t="shared" si="8"/>
        <v>3707.368226936961</v>
      </c>
      <c r="K31" s="87">
        <f t="shared" si="9"/>
        <v>4448.8418723243531</v>
      </c>
      <c r="L31" s="81">
        <f t="shared" si="10"/>
        <v>3868.5581498472638</v>
      </c>
      <c r="M31" s="76">
        <f t="shared" si="11"/>
        <v>4642.2697798167164</v>
      </c>
      <c r="N31" s="56"/>
    </row>
    <row r="32" spans="1:14" ht="19.95" customHeight="1" x14ac:dyDescent="0.3">
      <c r="A32" s="56"/>
      <c r="B32" s="69" t="s">
        <v>67</v>
      </c>
      <c r="C32" s="64">
        <v>0.15</v>
      </c>
      <c r="D32" s="67" t="s">
        <v>150</v>
      </c>
      <c r="E32" s="56"/>
      <c r="F32" s="56"/>
      <c r="G32" s="56"/>
      <c r="H32" s="56"/>
      <c r="I32" s="56"/>
      <c r="J32" s="56"/>
      <c r="K32" s="56"/>
      <c r="L32" s="56"/>
      <c r="M32" s="56"/>
      <c r="N32" s="56"/>
    </row>
    <row r="33" spans="1:14" ht="19.95" customHeight="1" x14ac:dyDescent="0.3">
      <c r="A33" s="56"/>
      <c r="B33" s="69" t="s">
        <v>68</v>
      </c>
      <c r="C33" s="64">
        <v>0.2</v>
      </c>
      <c r="D33" s="67" t="s">
        <v>150</v>
      </c>
      <c r="E33" s="56"/>
      <c r="F33" s="56"/>
      <c r="G33" s="56"/>
      <c r="H33" s="56"/>
      <c r="I33" s="56"/>
      <c r="J33" s="56"/>
      <c r="K33" s="56"/>
      <c r="L33" s="56"/>
      <c r="M33" s="56"/>
      <c r="N33" s="56"/>
    </row>
    <row r="34" spans="1:14" ht="24" customHeight="1" x14ac:dyDescent="0.3">
      <c r="A34" s="56"/>
      <c r="B34" s="69" t="s">
        <v>125</v>
      </c>
      <c r="C34" s="64">
        <v>0.2</v>
      </c>
      <c r="D34" s="67" t="s">
        <v>150</v>
      </c>
      <c r="E34" s="56"/>
      <c r="F34" s="95" t="s">
        <v>123</v>
      </c>
      <c r="G34" s="96"/>
      <c r="H34" s="97" t="s">
        <v>163</v>
      </c>
      <c r="I34" s="97"/>
      <c r="J34" s="97"/>
      <c r="K34" s="97"/>
      <c r="L34" s="97"/>
      <c r="M34" s="98"/>
      <c r="N34" s="56"/>
    </row>
    <row r="35" spans="1:14" ht="19.95" customHeight="1" x14ac:dyDescent="0.3">
      <c r="A35" s="56"/>
      <c r="B35" s="56"/>
      <c r="C35" s="56"/>
      <c r="D35" s="56"/>
      <c r="E35" s="56"/>
      <c r="F35" s="91" t="s">
        <v>124</v>
      </c>
      <c r="G35" s="93" t="s">
        <v>154</v>
      </c>
      <c r="H35" s="119">
        <f>$C$31</f>
        <v>0.1</v>
      </c>
      <c r="I35" s="120"/>
      <c r="J35" s="119">
        <f>$C$32</f>
        <v>0.15</v>
      </c>
      <c r="K35" s="120"/>
      <c r="L35" s="121">
        <f>$C$33</f>
        <v>0.2</v>
      </c>
      <c r="M35" s="122"/>
      <c r="N35" s="56"/>
    </row>
    <row r="36" spans="1:14" ht="19.95" customHeight="1" x14ac:dyDescent="0.3">
      <c r="A36" s="56"/>
      <c r="B36" s="71" t="s">
        <v>151</v>
      </c>
      <c r="C36" s="56"/>
      <c r="D36" s="56"/>
      <c r="E36" s="56"/>
      <c r="F36" s="92"/>
      <c r="G36" s="94"/>
      <c r="H36" s="72" t="s">
        <v>160</v>
      </c>
      <c r="I36" s="85" t="s">
        <v>161</v>
      </c>
      <c r="J36" s="72" t="s">
        <v>160</v>
      </c>
      <c r="K36" s="85" t="s">
        <v>161</v>
      </c>
      <c r="L36" s="79" t="s">
        <v>160</v>
      </c>
      <c r="M36" s="74" t="s">
        <v>161</v>
      </c>
      <c r="N36" s="56"/>
    </row>
    <row r="37" spans="1:14" ht="19.95" customHeight="1" x14ac:dyDescent="0.3">
      <c r="A37" s="56"/>
      <c r="B37" s="56"/>
      <c r="C37" s="56"/>
      <c r="D37" s="56"/>
      <c r="E37" s="56"/>
      <c r="F37" s="77" t="s">
        <v>20</v>
      </c>
      <c r="G37" s="82">
        <f>INDEX(Hesaplama!$C$45:$H$47,MATCH($F$34,Hesaplama!$B$45:$B$47,0),MATCH($F37,Hesaplama!$C$23:$H$23,0))</f>
        <v>1766.1953382315789</v>
      </c>
      <c r="H37" s="73">
        <f t="shared" ref="H37:H42" si="12">$G37*(1+H$35)</f>
        <v>1942.814872054737</v>
      </c>
      <c r="I37" s="86">
        <f t="shared" ref="I37:I42" si="13">H37*(1+$C$34)</f>
        <v>2331.3778464656843</v>
      </c>
      <c r="J37" s="73">
        <f t="shared" ref="J37:J42" si="14">$G37*(1+J$35)</f>
        <v>2031.1246389663156</v>
      </c>
      <c r="K37" s="86">
        <f t="shared" ref="K37:K42" si="15">J37*(1+$C$34)</f>
        <v>2437.3495667595785</v>
      </c>
      <c r="L37" s="80">
        <f t="shared" ref="L37:L42" si="16">$G37*(1+L$35)</f>
        <v>2119.4344058778947</v>
      </c>
      <c r="M37" s="75">
        <f t="shared" ref="M37:M42" si="17">L37*(1+$C$34)</f>
        <v>2543.3212870534735</v>
      </c>
      <c r="N37" s="56"/>
    </row>
    <row r="38" spans="1:14" ht="19.95" customHeight="1" x14ac:dyDescent="0.3">
      <c r="A38" s="56"/>
      <c r="B38" s="56"/>
      <c r="C38" s="56"/>
      <c r="D38" s="56"/>
      <c r="E38" s="56"/>
      <c r="F38" s="77" t="s">
        <v>21</v>
      </c>
      <c r="G38" s="82">
        <f>INDEX(Hesaplama!$C$45:$H$47,MATCH($F$34,Hesaplama!$B$45:$B$47,0),MATCH($F38,Hesaplama!$C$23:$H$23,0))</f>
        <v>2031.2295993470527</v>
      </c>
      <c r="H38" s="73">
        <f t="shared" si="12"/>
        <v>2234.3525592817582</v>
      </c>
      <c r="I38" s="86">
        <f t="shared" si="13"/>
        <v>2681.2230711381098</v>
      </c>
      <c r="J38" s="73">
        <f t="shared" si="14"/>
        <v>2335.9140392491104</v>
      </c>
      <c r="K38" s="86">
        <f t="shared" si="15"/>
        <v>2803.0968470989324</v>
      </c>
      <c r="L38" s="80">
        <f t="shared" si="16"/>
        <v>2437.475519216463</v>
      </c>
      <c r="M38" s="75">
        <f t="shared" si="17"/>
        <v>2924.9706230597553</v>
      </c>
      <c r="N38" s="56"/>
    </row>
    <row r="39" spans="1:14" ht="19.95" customHeight="1" x14ac:dyDescent="0.3">
      <c r="A39" s="56"/>
      <c r="B39" s="56"/>
      <c r="C39" s="56"/>
      <c r="D39" s="56"/>
      <c r="E39" s="56"/>
      <c r="F39" s="77" t="s">
        <v>22</v>
      </c>
      <c r="G39" s="82">
        <f>INDEX(Hesaplama!$C$45:$H$47,MATCH($F$34,Hesaplama!$B$45:$B$47,0),MATCH($F39,Hesaplama!$C$23:$H$23,0))</f>
        <v>2388.0881019007898</v>
      </c>
      <c r="H39" s="73">
        <f t="shared" si="12"/>
        <v>2626.8969120908691</v>
      </c>
      <c r="I39" s="86">
        <f t="shared" si="13"/>
        <v>3152.2762945090431</v>
      </c>
      <c r="J39" s="73">
        <f t="shared" si="14"/>
        <v>2746.3013171859079</v>
      </c>
      <c r="K39" s="86">
        <f t="shared" si="15"/>
        <v>3295.5615806230894</v>
      </c>
      <c r="L39" s="80">
        <f t="shared" si="16"/>
        <v>2865.7057222809476</v>
      </c>
      <c r="M39" s="75">
        <f t="shared" si="17"/>
        <v>3438.8468667371371</v>
      </c>
      <c r="N39" s="56"/>
    </row>
    <row r="40" spans="1:14" ht="19.95" customHeight="1" x14ac:dyDescent="0.3">
      <c r="A40" s="56"/>
      <c r="B40" s="56"/>
      <c r="C40" s="56"/>
      <c r="D40" s="56"/>
      <c r="E40" s="56"/>
      <c r="F40" s="77" t="s">
        <v>23</v>
      </c>
      <c r="G40" s="82">
        <f>INDEX(Hesaplama!$C$45:$H$47,MATCH($F$34,Hesaplama!$B$45:$B$47,0),MATCH($F40,Hesaplama!$C$23:$H$23,0))</f>
        <v>2569.2358863536847</v>
      </c>
      <c r="H40" s="73">
        <f t="shared" si="12"/>
        <v>2826.1594749890533</v>
      </c>
      <c r="I40" s="86">
        <f t="shared" si="13"/>
        <v>3391.391369986864</v>
      </c>
      <c r="J40" s="73">
        <f t="shared" si="14"/>
        <v>2954.6212693067373</v>
      </c>
      <c r="K40" s="86">
        <f t="shared" si="15"/>
        <v>3545.5455231680849</v>
      </c>
      <c r="L40" s="80">
        <f t="shared" si="16"/>
        <v>3083.0830636244214</v>
      </c>
      <c r="M40" s="75">
        <f t="shared" si="17"/>
        <v>3699.6996763493053</v>
      </c>
      <c r="N40" s="56"/>
    </row>
    <row r="41" spans="1:14" ht="19.95" customHeight="1" x14ac:dyDescent="0.3">
      <c r="A41" s="56"/>
      <c r="B41" s="56"/>
      <c r="C41" s="56"/>
      <c r="D41" s="56"/>
      <c r="E41" s="56"/>
      <c r="F41" s="77" t="s">
        <v>24</v>
      </c>
      <c r="G41" s="82">
        <f>INDEX(Hesaplama!$C$45:$H$47,MATCH($F$34,Hesaplama!$B$45:$B$47,0),MATCH($F41,Hesaplama!$C$23:$H$23,0))</f>
        <v>2705.6833274376313</v>
      </c>
      <c r="H41" s="73">
        <f t="shared" si="12"/>
        <v>2976.2516601813945</v>
      </c>
      <c r="I41" s="86">
        <f t="shared" si="13"/>
        <v>3571.5019922176734</v>
      </c>
      <c r="J41" s="73">
        <f t="shared" si="14"/>
        <v>3111.5358265532759</v>
      </c>
      <c r="K41" s="86">
        <f t="shared" si="15"/>
        <v>3733.8429918639308</v>
      </c>
      <c r="L41" s="80">
        <f t="shared" si="16"/>
        <v>3246.8199929251573</v>
      </c>
      <c r="M41" s="75">
        <f t="shared" si="17"/>
        <v>3896.1839915101887</v>
      </c>
      <c r="N41" s="56"/>
    </row>
    <row r="42" spans="1:14" ht="19.95" customHeight="1" x14ac:dyDescent="0.3">
      <c r="A42" s="56"/>
      <c r="B42" s="56"/>
      <c r="C42" s="56"/>
      <c r="D42" s="56"/>
      <c r="E42" s="56"/>
      <c r="F42" s="78" t="s">
        <v>25</v>
      </c>
      <c r="G42" s="83">
        <f>INDEX(Hesaplama!$C$45:$H$47,MATCH($F$34,Hesaplama!$B$45:$B$47,0),MATCH($F42,Hesaplama!$C$23:$H$23,0))</f>
        <v>2888.6560982060532</v>
      </c>
      <c r="H42" s="84">
        <f t="shared" si="12"/>
        <v>3177.5217080266589</v>
      </c>
      <c r="I42" s="87">
        <f t="shared" si="13"/>
        <v>3813.0260496319906</v>
      </c>
      <c r="J42" s="84">
        <f t="shared" si="14"/>
        <v>3321.9545129369608</v>
      </c>
      <c r="K42" s="87">
        <f t="shared" si="15"/>
        <v>3986.3454155243526</v>
      </c>
      <c r="L42" s="81">
        <f t="shared" si="16"/>
        <v>3466.3873178472636</v>
      </c>
      <c r="M42" s="76">
        <f t="shared" si="17"/>
        <v>4159.6647814167163</v>
      </c>
      <c r="N42" s="56"/>
    </row>
    <row r="43" spans="1:14" ht="19.95" customHeight="1" x14ac:dyDescent="0.3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</row>
    <row r="44" spans="1:14" ht="19.95" customHeight="1" x14ac:dyDescent="0.3">
      <c r="A44" s="56"/>
      <c r="B44" s="56"/>
      <c r="C44" s="56"/>
      <c r="D44" s="56"/>
      <c r="E44" s="56"/>
      <c r="F44" s="123" t="s">
        <v>164</v>
      </c>
      <c r="G44" s="123"/>
      <c r="H44" s="123"/>
      <c r="I44" s="123"/>
      <c r="J44" s="123"/>
      <c r="K44" s="123"/>
      <c r="L44" s="123"/>
      <c r="M44" s="123"/>
      <c r="N44" s="56"/>
    </row>
    <row r="45" spans="1:14" ht="19.95" customHeight="1" x14ac:dyDescent="0.3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</row>
    <row r="46" spans="1:14" ht="19.95" customHeight="1" x14ac:dyDescent="0.3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</row>
    <row r="47" spans="1:14" ht="19.95" customHeight="1" x14ac:dyDescent="0.3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</row>
    <row r="48" spans="1:14" ht="19.95" customHeight="1" x14ac:dyDescent="0.3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</row>
    <row r="49" spans="1:14" ht="19.95" customHeight="1" x14ac:dyDescent="0.3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</row>
    <row r="50" spans="1:14" ht="19.95" customHeight="1" x14ac:dyDescent="0.3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</row>
    <row r="51" spans="1:14" ht="19.95" customHeight="1" x14ac:dyDescent="0.3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</row>
    <row r="52" spans="1:14" ht="19.95" customHeight="1" x14ac:dyDescent="0.3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</row>
    <row r="53" spans="1:14" ht="19.95" customHeight="1" x14ac:dyDescent="0.3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</row>
    <row r="54" spans="1:14" ht="19.95" customHeight="1" x14ac:dyDescent="0.3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</row>
    <row r="55" spans="1:14" ht="19.95" customHeight="1" x14ac:dyDescent="0.3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</row>
    <row r="56" spans="1:14" ht="19.95" customHeight="1" x14ac:dyDescent="0.3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</row>
    <row r="57" spans="1:14" ht="19.95" customHeight="1" x14ac:dyDescent="0.3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</row>
    <row r="58" spans="1:14" ht="19.95" customHeight="1" x14ac:dyDescent="0.3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</row>
    <row r="59" spans="1:14" ht="19.95" customHeight="1" x14ac:dyDescent="0.3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</row>
    <row r="60" spans="1:14" ht="19.95" customHeight="1" x14ac:dyDescent="0.3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</row>
  </sheetData>
  <mergeCells count="42">
    <mergeCell ref="F44:M44"/>
    <mergeCell ref="F34:G34"/>
    <mergeCell ref="H34:M34"/>
    <mergeCell ref="F35:F36"/>
    <mergeCell ref="G35:G36"/>
    <mergeCell ref="H35:I35"/>
    <mergeCell ref="J35:K35"/>
    <mergeCell ref="L35:M35"/>
    <mergeCell ref="G24:G25"/>
    <mergeCell ref="H24:I24"/>
    <mergeCell ref="J24:K24"/>
    <mergeCell ref="L24:M24"/>
    <mergeCell ref="H13:I13"/>
    <mergeCell ref="J13:K13"/>
    <mergeCell ref="L13:M13"/>
    <mergeCell ref="F23:G23"/>
    <mergeCell ref="H23:M23"/>
    <mergeCell ref="B30:D30"/>
    <mergeCell ref="F5:M5"/>
    <mergeCell ref="F6:G6"/>
    <mergeCell ref="H6:I6"/>
    <mergeCell ref="J6:K6"/>
    <mergeCell ref="F7:G7"/>
    <mergeCell ref="H7:I7"/>
    <mergeCell ref="J7:K7"/>
    <mergeCell ref="F8:G8"/>
    <mergeCell ref="H8:I8"/>
    <mergeCell ref="J8:K8"/>
    <mergeCell ref="L6:M6"/>
    <mergeCell ref="L7:M7"/>
    <mergeCell ref="L8:M8"/>
    <mergeCell ref="F10:M10"/>
    <mergeCell ref="F24:F25"/>
    <mergeCell ref="B2:M2"/>
    <mergeCell ref="B3:M3"/>
    <mergeCell ref="B7:D7"/>
    <mergeCell ref="B17:D17"/>
    <mergeCell ref="B23:D23"/>
    <mergeCell ref="F13:F14"/>
    <mergeCell ref="G13:G14"/>
    <mergeCell ref="F12:G12"/>
    <mergeCell ref="H12:M12"/>
  </mergeCells>
  <dataValidations count="2">
    <dataValidation type="list" allowBlank="1" showInputMessage="1" showErrorMessage="1" sqref="H6" xr:uid="{E18BABCB-B2CB-4C88-B1C0-28A2124F3E93}">
      <formula1>"POMPALI,MİKSERLİ,SANTRAL ALTI"</formula1>
    </dataValidation>
    <dataValidation type="list" allowBlank="1" showInputMessage="1" showErrorMessage="1" sqref="H8" xr:uid="{38C1A3DC-FB35-4600-BD8D-1203D1DF3CA2}">
      <formula1>$C$31:$C$33</formula1>
    </dataValidation>
  </dataValidations>
  <pageMargins left="0.7" right="0.7" top="0.75" bottom="0.75" header="0.3" footer="0.3"/>
  <pageSetup paperSize="9" scale="51" orientation="landscape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4D9F7F4-1446-48EE-9DAC-825DCAF5C604}">
          <x14:formula1>
            <xm:f>Hesaplama!$C$23:$H$23</xm:f>
          </x14:formula1>
          <xm:sqref>H7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001"/>
  <sheetViews>
    <sheetView zoomScale="59" workbookViewId="0">
      <selection activeCell="AA10" sqref="AA10"/>
    </sheetView>
  </sheetViews>
  <sheetFormatPr defaultColWidth="14.44140625" defaultRowHeight="14.4" x14ac:dyDescent="0.3"/>
  <cols>
    <col min="1" max="1" width="2" customWidth="1"/>
    <col min="2" max="2" width="23.88671875" customWidth="1"/>
    <col min="3" max="14" width="15.109375" customWidth="1"/>
    <col min="15" max="26" width="8.6640625" customWidth="1"/>
  </cols>
  <sheetData>
    <row r="1" spans="2:14" ht="15" customHeight="1" x14ac:dyDescent="0.3">
      <c r="B1" s="124" t="s">
        <v>0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</row>
    <row r="2" spans="2:14" ht="15" customHeight="1" thickBot="1" x14ac:dyDescent="0.35">
      <c r="B2" s="1" t="s">
        <v>1</v>
      </c>
      <c r="C2" s="126" t="s">
        <v>2</v>
      </c>
      <c r="D2" s="126"/>
      <c r="E2" s="126"/>
    </row>
    <row r="3" spans="2:14" ht="57.6" x14ac:dyDescent="0.3">
      <c r="B3" s="2"/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5" t="s">
        <v>14</v>
      </c>
    </row>
    <row r="4" spans="2:14" x14ac:dyDescent="0.3">
      <c r="B4" s="6"/>
      <c r="C4" s="7">
        <v>4300</v>
      </c>
      <c r="D4" s="7">
        <v>230</v>
      </c>
      <c r="E4" s="8">
        <f>[1]Sayfa3!C7</f>
        <v>0.62</v>
      </c>
      <c r="F4" s="7">
        <v>94.995000000000005</v>
      </c>
      <c r="G4" s="7">
        <f>[1]Sayfa3!F7</f>
        <v>70000</v>
      </c>
      <c r="H4" s="7">
        <v>49.16</v>
      </c>
      <c r="I4" s="7">
        <v>2.92</v>
      </c>
      <c r="J4" s="9">
        <v>20</v>
      </c>
      <c r="K4" s="9">
        <v>21</v>
      </c>
      <c r="L4" s="9">
        <v>130</v>
      </c>
      <c r="M4" s="7">
        <v>12.175000000000001</v>
      </c>
      <c r="N4" s="10">
        <v>10</v>
      </c>
    </row>
    <row r="5" spans="2:14" ht="28.8" x14ac:dyDescent="0.3">
      <c r="B5" s="6"/>
      <c r="C5" s="11" t="s">
        <v>15</v>
      </c>
      <c r="D5" s="11" t="s">
        <v>16</v>
      </c>
      <c r="E5" s="11" t="s">
        <v>17</v>
      </c>
      <c r="F5" s="11" t="s">
        <v>18</v>
      </c>
      <c r="G5" s="11" t="s">
        <v>19</v>
      </c>
      <c r="H5" s="12"/>
      <c r="I5" s="12"/>
      <c r="J5" s="12"/>
      <c r="K5" s="12"/>
      <c r="L5" s="12"/>
      <c r="M5" s="12"/>
      <c r="N5" s="13"/>
    </row>
    <row r="6" spans="2:14" x14ac:dyDescent="0.3">
      <c r="B6" s="6"/>
      <c r="C6" s="14">
        <v>400000</v>
      </c>
      <c r="D6" s="14">
        <v>250000</v>
      </c>
      <c r="E6" s="14">
        <v>450000</v>
      </c>
      <c r="F6" s="14">
        <v>200000</v>
      </c>
      <c r="G6" s="14">
        <v>40000</v>
      </c>
      <c r="H6" s="12"/>
      <c r="I6" s="12"/>
      <c r="J6" s="12"/>
      <c r="K6" s="12"/>
      <c r="L6" s="12"/>
      <c r="M6" s="12"/>
      <c r="N6" s="13"/>
    </row>
    <row r="7" spans="2:14" ht="15" thickBot="1" x14ac:dyDescent="0.35">
      <c r="B7" s="6"/>
      <c r="C7" s="15"/>
      <c r="D7" s="15"/>
      <c r="E7" s="15"/>
      <c r="F7" s="15"/>
      <c r="G7" s="12"/>
      <c r="H7" s="12"/>
      <c r="I7" s="12"/>
      <c r="J7" s="12"/>
      <c r="K7" s="12"/>
      <c r="L7" s="12"/>
      <c r="M7" s="12"/>
      <c r="N7" s="13"/>
    </row>
    <row r="8" spans="2:14" x14ac:dyDescent="0.3">
      <c r="B8" s="16"/>
      <c r="C8" s="127" t="s">
        <v>20</v>
      </c>
      <c r="D8" s="128"/>
      <c r="E8" s="127" t="s">
        <v>21</v>
      </c>
      <c r="F8" s="128"/>
      <c r="G8" s="127" t="s">
        <v>22</v>
      </c>
      <c r="H8" s="128"/>
      <c r="I8" s="127" t="s">
        <v>23</v>
      </c>
      <c r="J8" s="128"/>
      <c r="K8" s="127" t="s">
        <v>24</v>
      </c>
      <c r="L8" s="128"/>
      <c r="M8" s="127" t="s">
        <v>25</v>
      </c>
      <c r="N8" s="128"/>
    </row>
    <row r="9" spans="2:14" x14ac:dyDescent="0.3">
      <c r="B9" s="17"/>
      <c r="C9" s="18" t="s">
        <v>26</v>
      </c>
      <c r="D9" s="19" t="s">
        <v>27</v>
      </c>
      <c r="E9" s="18" t="s">
        <v>26</v>
      </c>
      <c r="F9" s="19" t="s">
        <v>27</v>
      </c>
      <c r="G9" s="18" t="s">
        <v>26</v>
      </c>
      <c r="H9" s="19" t="s">
        <v>27</v>
      </c>
      <c r="I9" s="18" t="s">
        <v>26</v>
      </c>
      <c r="J9" s="19" t="s">
        <v>27</v>
      </c>
      <c r="K9" s="18" t="s">
        <v>26</v>
      </c>
      <c r="L9" s="19" t="s">
        <v>27</v>
      </c>
      <c r="M9" s="18" t="s">
        <v>26</v>
      </c>
      <c r="N9" s="19" t="s">
        <v>27</v>
      </c>
    </row>
    <row r="10" spans="2:14" x14ac:dyDescent="0.3">
      <c r="B10" s="17" t="s">
        <v>28</v>
      </c>
      <c r="C10" s="20">
        <v>170</v>
      </c>
      <c r="D10" s="21">
        <f>C10*C4/1000</f>
        <v>731</v>
      </c>
      <c r="E10" s="22">
        <v>230</v>
      </c>
      <c r="F10" s="21">
        <f>E10*C4/1000</f>
        <v>989</v>
      </c>
      <c r="G10" s="22">
        <v>300</v>
      </c>
      <c r="H10" s="21">
        <f>G10*C4/1000</f>
        <v>1290</v>
      </c>
      <c r="I10" s="22">
        <v>340</v>
      </c>
      <c r="J10" s="21">
        <f>I10*C4/1000</f>
        <v>1462</v>
      </c>
      <c r="K10" s="22">
        <v>370</v>
      </c>
      <c r="L10" s="21">
        <f>K10*C4/1000</f>
        <v>1591</v>
      </c>
      <c r="M10" s="22">
        <v>410</v>
      </c>
      <c r="N10" s="21">
        <f>M10*C4/1000</f>
        <v>1763</v>
      </c>
    </row>
    <row r="11" spans="2:14" x14ac:dyDescent="0.3">
      <c r="B11" s="17" t="s">
        <v>29</v>
      </c>
      <c r="C11" s="20">
        <v>1940</v>
      </c>
      <c r="D11" s="21">
        <f>C11*D4/1000</f>
        <v>446.2</v>
      </c>
      <c r="E11" s="22">
        <v>1868.4</v>
      </c>
      <c r="F11" s="21">
        <f>E11*D4/1000</f>
        <v>429.73200000000003</v>
      </c>
      <c r="G11" s="22">
        <v>1939</v>
      </c>
      <c r="H11" s="21">
        <f>G11*D4/1000</f>
        <v>445.97</v>
      </c>
      <c r="I11" s="22">
        <v>1892</v>
      </c>
      <c r="J11" s="21">
        <f>I11*D4/1000</f>
        <v>435.16</v>
      </c>
      <c r="K11" s="22">
        <v>1859</v>
      </c>
      <c r="L11" s="21">
        <f>K11*D4/1000</f>
        <v>427.57</v>
      </c>
      <c r="M11" s="22">
        <v>1819</v>
      </c>
      <c r="N11" s="21">
        <f>M11*D4/1000</f>
        <v>418.37</v>
      </c>
    </row>
    <row r="12" spans="2:14" x14ac:dyDescent="0.3">
      <c r="B12" s="17" t="s">
        <v>30</v>
      </c>
      <c r="C12" s="20">
        <v>1.9</v>
      </c>
      <c r="D12" s="21">
        <f>C12*E4*H4</f>
        <v>57.910479999999993</v>
      </c>
      <c r="E12" s="22">
        <f>E10*1/100</f>
        <v>2.2999999999999998</v>
      </c>
      <c r="F12" s="21">
        <f>E12*H4*E4</f>
        <v>70.102159999999984</v>
      </c>
      <c r="G12" s="22">
        <f>G10*1/100</f>
        <v>3</v>
      </c>
      <c r="H12" s="21">
        <f>G12*E4*H4</f>
        <v>91.437599999999989</v>
      </c>
      <c r="I12" s="22">
        <f>I10*1/100</f>
        <v>3.4</v>
      </c>
      <c r="J12" s="21">
        <f>I12*E4*H4</f>
        <v>103.62927999999999</v>
      </c>
      <c r="K12" s="22">
        <f>K10*1/100</f>
        <v>3.7</v>
      </c>
      <c r="L12" s="21">
        <f>K12*E4*H4</f>
        <v>112.77303999999999</v>
      </c>
      <c r="M12" s="22">
        <f>M10*1/100</f>
        <v>4.0999999999999996</v>
      </c>
      <c r="N12" s="21">
        <f>M12*E4*H4</f>
        <v>124.96471999999999</v>
      </c>
    </row>
    <row r="13" spans="2:14" x14ac:dyDescent="0.3">
      <c r="B13" s="17" t="s">
        <v>31</v>
      </c>
      <c r="C13" s="20">
        <f>IF($C$2="SANTRAL ALTI",0,0.7*2*J4/N4)</f>
        <v>2.8</v>
      </c>
      <c r="D13" s="21">
        <f>C13*F4</f>
        <v>265.98599999999999</v>
      </c>
      <c r="E13" s="22">
        <f>IF($C$2="SANTRAL ALTI",0,0.7*2*J4/N4)</f>
        <v>2.8</v>
      </c>
      <c r="F13" s="21">
        <f>E13*F4</f>
        <v>265.98599999999999</v>
      </c>
      <c r="G13" s="22">
        <f>IF($C$2="SANTRAL ALTI",0,0.7*2*J4/N4)</f>
        <v>2.8</v>
      </c>
      <c r="H13" s="21">
        <f>G13*F4</f>
        <v>265.98599999999999</v>
      </c>
      <c r="I13" s="22">
        <f>IF($C$2="SANTRAL ALTI",0,0.7*2*J4/N4)</f>
        <v>2.8</v>
      </c>
      <c r="J13" s="21">
        <f>I13*F4</f>
        <v>265.98599999999999</v>
      </c>
      <c r="K13" s="22">
        <f>IF($C$2="SANTRAL ALTI",0,0.7*2*J4/N4)</f>
        <v>2.8</v>
      </c>
      <c r="L13" s="21">
        <f>K13*F4</f>
        <v>265.98599999999999</v>
      </c>
      <c r="M13" s="22">
        <f>IF($C$2="SANTRAL ALTI",0,0.7*2*J4/N4)</f>
        <v>2.8</v>
      </c>
      <c r="N13" s="21">
        <f>M13*F4</f>
        <v>265.98599999999999</v>
      </c>
    </row>
    <row r="14" spans="2:14" x14ac:dyDescent="0.3">
      <c r="B14" s="17" t="s">
        <v>32</v>
      </c>
      <c r="C14" s="23">
        <f>0.4*2*K4/38</f>
        <v>0.44210526315789478</v>
      </c>
      <c r="D14" s="24">
        <f>C14*F4*C11/1000*1.15</f>
        <v>93.697068315789465</v>
      </c>
      <c r="E14" s="25">
        <f>0.4*2*K4/38</f>
        <v>0.44210526315789478</v>
      </c>
      <c r="F14" s="24">
        <f>E14*F4*E11/1000*1.15</f>
        <v>90.238970330526328</v>
      </c>
      <c r="G14" s="25">
        <f>0.4*2*K4/38</f>
        <v>0.44210526315789478</v>
      </c>
      <c r="H14" s="24">
        <f>G14*F4*G11/1000*1.15</f>
        <v>93.648770857894746</v>
      </c>
      <c r="I14" s="25">
        <f>0.4*2*K4/38</f>
        <v>0.44210526315789478</v>
      </c>
      <c r="J14" s="21">
        <f>I14*F4*I11/1000*1.15</f>
        <v>91.378790336842101</v>
      </c>
      <c r="K14" s="25">
        <f>0.4*2*K4/38</f>
        <v>0.44210526315789478</v>
      </c>
      <c r="L14" s="21">
        <f>K14*F4*K11/1000*1.15</f>
        <v>89.784974226315782</v>
      </c>
      <c r="M14" s="25">
        <f>0.4*2*K4/38</f>
        <v>0.44210526315789478</v>
      </c>
      <c r="N14" s="21">
        <f>M14*F4*M11/1000*1.15</f>
        <v>87.853075910526329</v>
      </c>
    </row>
    <row r="15" spans="2:14" x14ac:dyDescent="0.3">
      <c r="B15" s="17" t="s">
        <v>33</v>
      </c>
      <c r="C15" s="20">
        <f>IF($C$2="POMPALI",0.73,0)</f>
        <v>0.73</v>
      </c>
      <c r="D15" s="21">
        <f>C15*F4</f>
        <v>69.346350000000001</v>
      </c>
      <c r="E15" s="22">
        <f>IF($C$2="POMPALI",0.73,0)</f>
        <v>0.73</v>
      </c>
      <c r="F15" s="21">
        <f>E15*F4</f>
        <v>69.346350000000001</v>
      </c>
      <c r="G15" s="22">
        <f>IF($C$2="POMPALI",0.73,0)</f>
        <v>0.73</v>
      </c>
      <c r="H15" s="21">
        <f>G15*F4</f>
        <v>69.346350000000001</v>
      </c>
      <c r="I15" s="22">
        <f>IF($C$2="POMPALI",0.73,0)</f>
        <v>0.73</v>
      </c>
      <c r="J15" s="21">
        <f>I15*F4</f>
        <v>69.346350000000001</v>
      </c>
      <c r="K15" s="22">
        <f>IF($C$2="POMPALI",0.73,0)</f>
        <v>0.73</v>
      </c>
      <c r="L15" s="21">
        <f>K15*F4</f>
        <v>69.346350000000001</v>
      </c>
      <c r="M15" s="22">
        <f>IF($C$2="POMPALI",0.73,0)</f>
        <v>0.73</v>
      </c>
      <c r="N15" s="21">
        <f>M15*F4</f>
        <v>69.346350000000001</v>
      </c>
    </row>
    <row r="16" spans="2:14" x14ac:dyDescent="0.3">
      <c r="B16" s="17" t="s">
        <v>34</v>
      </c>
      <c r="C16" s="20">
        <v>0.35</v>
      </c>
      <c r="D16" s="21">
        <f>C16*F4</f>
        <v>33.248249999999999</v>
      </c>
      <c r="E16" s="22">
        <v>0.35</v>
      </c>
      <c r="F16" s="21">
        <f>E16*F4</f>
        <v>33.248249999999999</v>
      </c>
      <c r="G16" s="22">
        <v>0.35</v>
      </c>
      <c r="H16" s="21">
        <f>G16*F4</f>
        <v>33.248249999999999</v>
      </c>
      <c r="I16" s="22">
        <v>0.35</v>
      </c>
      <c r="J16" s="21">
        <f>I16*F4</f>
        <v>33.248249999999999</v>
      </c>
      <c r="K16" s="22">
        <v>0.35</v>
      </c>
      <c r="L16" s="21">
        <f>K16*F4</f>
        <v>33.248249999999999</v>
      </c>
      <c r="M16" s="22">
        <v>0.35</v>
      </c>
      <c r="N16" s="21">
        <f>M16*F4</f>
        <v>33.248249999999999</v>
      </c>
    </row>
    <row r="17" spans="2:14" x14ac:dyDescent="0.3">
      <c r="B17" s="17" t="s">
        <v>35</v>
      </c>
      <c r="C17" s="20">
        <v>21</v>
      </c>
      <c r="D17" s="21">
        <f>G4*C17/30/L4</f>
        <v>376.92307692307691</v>
      </c>
      <c r="E17" s="22">
        <v>21</v>
      </c>
      <c r="F17" s="21">
        <f>G4*E17/30/L4</f>
        <v>376.92307692307691</v>
      </c>
      <c r="G17" s="22">
        <v>21</v>
      </c>
      <c r="H17" s="21">
        <f>G17*G4/30/L4</f>
        <v>376.92307692307691</v>
      </c>
      <c r="I17" s="22">
        <v>21</v>
      </c>
      <c r="J17" s="21">
        <f>I17*G4/30/L4</f>
        <v>376.92307692307691</v>
      </c>
      <c r="K17" s="22">
        <v>21</v>
      </c>
      <c r="L17" s="21">
        <f>K17*G4/30/L4</f>
        <v>376.92307692307691</v>
      </c>
      <c r="M17" s="22">
        <v>21</v>
      </c>
      <c r="N17" s="21">
        <f>M17*G4/30/L4</f>
        <v>376.92307692307691</v>
      </c>
    </row>
    <row r="18" spans="2:14" x14ac:dyDescent="0.3">
      <c r="B18" s="17" t="s">
        <v>36</v>
      </c>
      <c r="C18" s="20">
        <v>5.5</v>
      </c>
      <c r="D18" s="21">
        <f>C18*I4</f>
        <v>16.059999999999999</v>
      </c>
      <c r="E18" s="22">
        <v>5.5</v>
      </c>
      <c r="F18" s="21">
        <f>E18*I4</f>
        <v>16.059999999999999</v>
      </c>
      <c r="G18" s="22">
        <v>5.5</v>
      </c>
      <c r="H18" s="21">
        <f>G18*I4</f>
        <v>16.059999999999999</v>
      </c>
      <c r="I18" s="22">
        <v>5.5</v>
      </c>
      <c r="J18" s="21">
        <f>I18*I4</f>
        <v>16.059999999999999</v>
      </c>
      <c r="K18" s="22">
        <v>5.5</v>
      </c>
      <c r="L18" s="21">
        <f>K18*I4</f>
        <v>16.059999999999999</v>
      </c>
      <c r="M18" s="22">
        <v>5.5</v>
      </c>
      <c r="N18" s="21">
        <f>M18*I4</f>
        <v>16.059999999999999</v>
      </c>
    </row>
    <row r="19" spans="2:14" x14ac:dyDescent="0.3">
      <c r="B19" s="17" t="s">
        <v>37</v>
      </c>
      <c r="C19" s="20">
        <v>1</v>
      </c>
      <c r="D19" s="21">
        <f>C19*M4</f>
        <v>12.175000000000001</v>
      </c>
      <c r="E19" s="22">
        <v>1</v>
      </c>
      <c r="F19" s="21">
        <f>M4*E19</f>
        <v>12.175000000000001</v>
      </c>
      <c r="G19" s="22">
        <v>1</v>
      </c>
      <c r="H19" s="21">
        <f>G19*M4</f>
        <v>12.175000000000001</v>
      </c>
      <c r="I19" s="22">
        <v>1</v>
      </c>
      <c r="J19" s="21">
        <f>I19*M4</f>
        <v>12.175000000000001</v>
      </c>
      <c r="K19" s="22">
        <v>1</v>
      </c>
      <c r="L19" s="21">
        <f>K19*M4</f>
        <v>12.175000000000001</v>
      </c>
      <c r="M19" s="22">
        <v>1</v>
      </c>
      <c r="N19" s="21">
        <f>M19*M4</f>
        <v>12.175000000000001</v>
      </c>
    </row>
    <row r="20" spans="2:14" x14ac:dyDescent="0.3">
      <c r="B20" s="17" t="s">
        <v>38</v>
      </c>
      <c r="C20" s="20"/>
      <c r="D20" s="21">
        <f>SUM(D10:D19)*0.05</f>
        <v>105.12731126194333</v>
      </c>
      <c r="E20" s="26"/>
      <c r="F20" s="21">
        <f>SUM(F10:F19)*0.05</f>
        <v>117.64059036268016</v>
      </c>
      <c r="G20" s="26"/>
      <c r="H20" s="21">
        <f>SUM(H10:H19)*0.05</f>
        <v>134.73975238904856</v>
      </c>
      <c r="I20" s="26"/>
      <c r="J20" s="21">
        <f>SUM(J10:J19)*0.05</f>
        <v>143.29533736299592</v>
      </c>
      <c r="K20" s="26"/>
      <c r="L20" s="21">
        <f>SUM(L10:L19)*0.05</f>
        <v>149.74333455746964</v>
      </c>
      <c r="M20" s="26"/>
      <c r="N20" s="21">
        <f>SUM(N10:N19)*0.05</f>
        <v>158.39632364168017</v>
      </c>
    </row>
    <row r="21" spans="2:14" ht="15" thickBot="1" x14ac:dyDescent="0.35">
      <c r="B21" s="27"/>
      <c r="C21" s="28" t="s">
        <v>39</v>
      </c>
      <c r="D21" s="29">
        <f>SUM(D10:D20)</f>
        <v>2207.6735365008099</v>
      </c>
      <c r="E21" s="28" t="s">
        <v>39</v>
      </c>
      <c r="F21" s="29">
        <f>SUM(F10:F20)</f>
        <v>2470.4523976162832</v>
      </c>
      <c r="G21" s="28" t="s">
        <v>39</v>
      </c>
      <c r="H21" s="29">
        <f>SUM(H10:H20)</f>
        <v>2829.5348001700199</v>
      </c>
      <c r="I21" s="28" t="s">
        <v>39</v>
      </c>
      <c r="J21" s="29">
        <f>SUM(J10:J20)</f>
        <v>3009.2020846229143</v>
      </c>
      <c r="K21" s="28" t="s">
        <v>39</v>
      </c>
      <c r="L21" s="29">
        <f>SUM(L10:L20)</f>
        <v>3144.610025706862</v>
      </c>
      <c r="M21" s="28" t="s">
        <v>39</v>
      </c>
      <c r="N21" s="29">
        <f>SUM(N10:N20)</f>
        <v>3326.3227964752837</v>
      </c>
    </row>
    <row r="22" spans="2:14" ht="15.75" customHeight="1" x14ac:dyDescent="0.3">
      <c r="B22" s="16" t="s">
        <v>40</v>
      </c>
      <c r="C22" s="30">
        <v>4</v>
      </c>
      <c r="D22" s="31">
        <f>C22*D6/30/L4</f>
        <v>256.41025641025641</v>
      </c>
      <c r="E22" s="30">
        <v>4</v>
      </c>
      <c r="F22" s="31">
        <f>C22*D6/30/L4</f>
        <v>256.41025641025641</v>
      </c>
      <c r="G22" s="30">
        <v>4</v>
      </c>
      <c r="H22" s="31">
        <f>C22*D6/30/L4</f>
        <v>256.41025641025641</v>
      </c>
      <c r="I22" s="30">
        <v>4</v>
      </c>
      <c r="J22" s="31">
        <f>C22*D6/30/L4</f>
        <v>256.41025641025641</v>
      </c>
      <c r="K22" s="30">
        <v>4</v>
      </c>
      <c r="L22" s="31">
        <f>C22*D6/30/L4</f>
        <v>256.41025641025641</v>
      </c>
      <c r="M22" s="30">
        <v>4</v>
      </c>
      <c r="N22" s="31">
        <f>C22*D6/30/L4</f>
        <v>256.41025641025641</v>
      </c>
    </row>
    <row r="23" spans="2:14" ht="15.75" customHeight="1" x14ac:dyDescent="0.3">
      <c r="B23" s="17" t="s">
        <v>41</v>
      </c>
      <c r="C23" s="20">
        <v>1</v>
      </c>
      <c r="D23" s="21">
        <f>C23*E6/30/L4</f>
        <v>115.38461538461539</v>
      </c>
      <c r="E23" s="20">
        <v>1</v>
      </c>
      <c r="F23" s="21">
        <f>C23*E6/30/L4</f>
        <v>115.38461538461539</v>
      </c>
      <c r="G23" s="20">
        <v>1</v>
      </c>
      <c r="H23" s="21">
        <f>C23*E6/30/L4</f>
        <v>115.38461538461539</v>
      </c>
      <c r="I23" s="20">
        <v>1</v>
      </c>
      <c r="J23" s="21">
        <f>C23*E6/30/L4</f>
        <v>115.38461538461539</v>
      </c>
      <c r="K23" s="20">
        <v>1</v>
      </c>
      <c r="L23" s="21">
        <f>C23*E6/30/L4</f>
        <v>115.38461538461539</v>
      </c>
      <c r="M23" s="20">
        <v>1</v>
      </c>
      <c r="N23" s="21">
        <f>C23*E6/30/L4</f>
        <v>115.38461538461539</v>
      </c>
    </row>
    <row r="24" spans="2:14" ht="15.75" customHeight="1" x14ac:dyDescent="0.3">
      <c r="B24" s="17" t="s">
        <v>42</v>
      </c>
      <c r="C24" s="20">
        <v>1</v>
      </c>
      <c r="D24" s="21">
        <f>C24*F6/30/L4</f>
        <v>51.282051282051285</v>
      </c>
      <c r="E24" s="20">
        <v>1</v>
      </c>
      <c r="F24" s="21">
        <f>C24*F6/30/L4</f>
        <v>51.282051282051285</v>
      </c>
      <c r="G24" s="20">
        <v>1</v>
      </c>
      <c r="H24" s="21">
        <f>C24*F6/30/L4</f>
        <v>51.282051282051285</v>
      </c>
      <c r="I24" s="20">
        <v>1</v>
      </c>
      <c r="J24" s="21">
        <f>C24*F6/30/L4</f>
        <v>51.282051282051285</v>
      </c>
      <c r="K24" s="20">
        <v>1</v>
      </c>
      <c r="L24" s="21">
        <f>C24*F6/30/L4</f>
        <v>51.282051282051285</v>
      </c>
      <c r="M24" s="20">
        <v>1</v>
      </c>
      <c r="N24" s="21">
        <f>C24*F6/30/L4</f>
        <v>51.282051282051285</v>
      </c>
    </row>
    <row r="25" spans="2:14" ht="15.75" customHeight="1" x14ac:dyDescent="0.3">
      <c r="B25" s="17" t="s">
        <v>43</v>
      </c>
      <c r="C25" s="20">
        <v>1</v>
      </c>
      <c r="D25" s="21">
        <f>C25*C6/30/L4</f>
        <v>102.56410256410257</v>
      </c>
      <c r="E25" s="20">
        <v>1</v>
      </c>
      <c r="F25" s="21">
        <f>C25*C6/30/L4</f>
        <v>102.56410256410257</v>
      </c>
      <c r="G25" s="20">
        <v>1</v>
      </c>
      <c r="H25" s="21">
        <f>C25*C6/30/L4</f>
        <v>102.56410256410257</v>
      </c>
      <c r="I25" s="20">
        <v>1</v>
      </c>
      <c r="J25" s="21">
        <f>C25*C6/30/L4</f>
        <v>102.56410256410257</v>
      </c>
      <c r="K25" s="20">
        <v>1</v>
      </c>
      <c r="L25" s="21">
        <f>C25*C6/30/L4</f>
        <v>102.56410256410257</v>
      </c>
      <c r="M25" s="20">
        <v>1</v>
      </c>
      <c r="N25" s="21">
        <f>C25*C6/30/L4</f>
        <v>102.56410256410257</v>
      </c>
    </row>
    <row r="26" spans="2:14" ht="15.75" customHeight="1" x14ac:dyDescent="0.3">
      <c r="B26" s="17" t="s">
        <v>44</v>
      </c>
      <c r="C26" s="20">
        <v>1</v>
      </c>
      <c r="D26" s="21">
        <f>C26*G6/30/L4</f>
        <v>10.256410256410255</v>
      </c>
      <c r="E26" s="20">
        <v>1</v>
      </c>
      <c r="F26" s="21">
        <f>C26*G6/30/L4</f>
        <v>10.256410256410255</v>
      </c>
      <c r="G26" s="20">
        <v>1</v>
      </c>
      <c r="H26" s="21">
        <f>C26*G6/30/L4</f>
        <v>10.256410256410255</v>
      </c>
      <c r="I26" s="20">
        <v>1</v>
      </c>
      <c r="J26" s="21">
        <f>C26*G6/30/L4</f>
        <v>10.256410256410255</v>
      </c>
      <c r="K26" s="20">
        <v>1</v>
      </c>
      <c r="L26" s="21">
        <f>C26*G6/30/L4</f>
        <v>10.256410256410255</v>
      </c>
      <c r="M26" s="20">
        <v>1</v>
      </c>
      <c r="N26" s="21">
        <f>C26*G6/30/L4</f>
        <v>10.256410256410255</v>
      </c>
    </row>
    <row r="27" spans="2:14" ht="15.75" customHeight="1" x14ac:dyDescent="0.3">
      <c r="B27" s="17" t="s">
        <v>38</v>
      </c>
      <c r="C27" s="22"/>
      <c r="D27" s="21">
        <f>(SUM(D10:D26)-D21-D20)*0.05</f>
        <v>131.92218305681516</v>
      </c>
      <c r="E27" s="22"/>
      <c r="F27" s="21">
        <f>(SUM(F10:F26)-F21-F20)*0.05</f>
        <v>144.435462157552</v>
      </c>
      <c r="G27" s="22"/>
      <c r="H27" s="21">
        <f>(SUM(H10:H26)-H21-H20)*0.05</f>
        <v>161.53462418392041</v>
      </c>
      <c r="I27" s="22"/>
      <c r="J27" s="21">
        <f>(SUM(J10:J26)-J21-J20)*0.05</f>
        <v>170.09020915786778</v>
      </c>
      <c r="K27" s="22"/>
      <c r="L27" s="21">
        <f>(SUM(L10:L26)-L21-L20)*0.05</f>
        <v>176.53820635234146</v>
      </c>
      <c r="M27" s="22"/>
      <c r="N27" s="21">
        <f>(SUM(N10:N26)-N21-N20)*0.05</f>
        <v>185.19119543655199</v>
      </c>
    </row>
    <row r="28" spans="2:14" ht="15.75" customHeight="1" thickBot="1" x14ac:dyDescent="0.35">
      <c r="B28" s="27"/>
      <c r="C28" s="32" t="s">
        <v>45</v>
      </c>
      <c r="D28" s="33">
        <f>SUM(D10:D27)-D21-D20</f>
        <v>2770.3658441931179</v>
      </c>
      <c r="E28" s="32" t="s">
        <v>45</v>
      </c>
      <c r="F28" s="33">
        <f>SUM(F10:F27)-F21-F20</f>
        <v>3033.1447053085917</v>
      </c>
      <c r="G28" s="32" t="s">
        <v>45</v>
      </c>
      <c r="H28" s="33">
        <f>SUM(H10:H27)-H21-H20</f>
        <v>3392.2271078623285</v>
      </c>
      <c r="I28" s="32" t="s">
        <v>45</v>
      </c>
      <c r="J28" s="33">
        <f>SUM(J10:J27)-J21-J20</f>
        <v>3571.8943923152224</v>
      </c>
      <c r="K28" s="32" t="s">
        <v>45</v>
      </c>
      <c r="L28" s="33">
        <f>SUM(L10:L27)-L21-L20</f>
        <v>3707.30233339917</v>
      </c>
      <c r="M28" s="32" t="s">
        <v>45</v>
      </c>
      <c r="N28" s="33">
        <f>SUM(N10:N27)-N21-N20</f>
        <v>3889.0151041675922</v>
      </c>
    </row>
    <row r="29" spans="2:14" ht="15.75" customHeight="1" x14ac:dyDescent="0.3">
      <c r="B29" s="6"/>
      <c r="C29" s="34"/>
      <c r="D29" s="35"/>
      <c r="E29" s="34"/>
      <c r="F29" s="35"/>
      <c r="G29" s="34"/>
      <c r="H29" s="35"/>
      <c r="I29" s="34"/>
      <c r="J29" s="35"/>
      <c r="K29" s="34"/>
      <c r="L29" s="35"/>
      <c r="M29" s="34"/>
      <c r="N29" s="36"/>
    </row>
    <row r="30" spans="2:14" ht="15.75" customHeight="1" x14ac:dyDescent="0.3">
      <c r="B30" s="132" t="s">
        <v>46</v>
      </c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4"/>
    </row>
    <row r="31" spans="2:14" ht="15.75" customHeight="1" x14ac:dyDescent="0.3">
      <c r="B31" s="135" t="s">
        <v>47</v>
      </c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36"/>
      <c r="N31" s="137"/>
    </row>
    <row r="32" spans="2:14" ht="15.75" customHeight="1" x14ac:dyDescent="0.3">
      <c r="B32" s="135" t="s">
        <v>48</v>
      </c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36"/>
      <c r="N32" s="137"/>
    </row>
    <row r="33" spans="2:14" ht="15.75" customHeight="1" x14ac:dyDescent="0.3">
      <c r="B33" s="135" t="s">
        <v>49</v>
      </c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36"/>
      <c r="N33" s="137"/>
    </row>
    <row r="34" spans="2:14" ht="15.75" customHeight="1" x14ac:dyDescent="0.3">
      <c r="B34" s="135" t="s">
        <v>50</v>
      </c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6"/>
      <c r="N34" s="137"/>
    </row>
    <row r="35" spans="2:14" ht="15.75" customHeight="1" x14ac:dyDescent="0.3">
      <c r="B35" s="37" t="s">
        <v>51</v>
      </c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9"/>
    </row>
    <row r="36" spans="2:14" ht="15.75" customHeight="1" x14ac:dyDescent="0.3">
      <c r="B36" s="135" t="s">
        <v>52</v>
      </c>
      <c r="C36" s="136"/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7"/>
    </row>
    <row r="37" spans="2:14" ht="15.75" customHeight="1" thickBot="1" x14ac:dyDescent="0.35">
      <c r="B37" s="129" t="s">
        <v>53</v>
      </c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1"/>
    </row>
    <row r="38" spans="2:14" ht="15.75" customHeight="1" x14ac:dyDescent="0.3"/>
    <row r="39" spans="2:14" ht="15.75" customHeight="1" x14ac:dyDescent="0.3"/>
    <row r="40" spans="2:14" ht="15.75" customHeight="1" x14ac:dyDescent="0.3"/>
    <row r="41" spans="2:14" ht="15.75" customHeight="1" x14ac:dyDescent="0.3"/>
    <row r="42" spans="2:14" ht="15.75" customHeight="1" x14ac:dyDescent="0.3"/>
    <row r="43" spans="2:14" ht="15.75" customHeight="1" x14ac:dyDescent="0.3"/>
    <row r="44" spans="2:14" ht="15.75" customHeight="1" x14ac:dyDescent="0.3"/>
    <row r="45" spans="2:14" ht="15.75" customHeight="1" x14ac:dyDescent="0.3"/>
    <row r="46" spans="2:14" ht="15.75" customHeight="1" x14ac:dyDescent="0.3"/>
    <row r="47" spans="2:14" ht="15.75" customHeight="1" x14ac:dyDescent="0.3"/>
    <row r="48" spans="2:14" ht="15.75" customHeight="1" x14ac:dyDescent="0.3"/>
    <row r="49" customFormat="1" ht="15.75" customHeight="1" x14ac:dyDescent="0.3"/>
    <row r="50" customFormat="1" ht="15.75" customHeight="1" x14ac:dyDescent="0.3"/>
    <row r="51" customFormat="1" ht="15.75" customHeight="1" x14ac:dyDescent="0.3"/>
    <row r="52" customFormat="1" ht="15.75" customHeight="1" x14ac:dyDescent="0.3"/>
    <row r="53" customFormat="1" ht="15.75" customHeight="1" x14ac:dyDescent="0.3"/>
    <row r="54" customFormat="1" ht="15.75" customHeight="1" x14ac:dyDescent="0.3"/>
    <row r="55" customFormat="1" ht="15.75" customHeight="1" x14ac:dyDescent="0.3"/>
    <row r="56" customFormat="1" ht="15.75" customHeight="1" x14ac:dyDescent="0.3"/>
    <row r="57" customFormat="1" ht="15.75" customHeight="1" x14ac:dyDescent="0.3"/>
    <row r="58" customFormat="1" ht="15.75" customHeight="1" x14ac:dyDescent="0.3"/>
    <row r="59" customFormat="1" ht="15.75" customHeight="1" x14ac:dyDescent="0.3"/>
    <row r="60" customFormat="1" ht="15.75" customHeight="1" x14ac:dyDescent="0.3"/>
    <row r="61" customFormat="1" ht="15.75" customHeight="1" x14ac:dyDescent="0.3"/>
    <row r="62" customFormat="1" ht="15.75" customHeight="1" x14ac:dyDescent="0.3"/>
    <row r="63" customFormat="1" ht="15.75" customHeight="1" x14ac:dyDescent="0.3"/>
    <row r="64" customFormat="1" ht="15.75" customHeight="1" x14ac:dyDescent="0.3"/>
    <row r="65" customFormat="1" ht="15.75" customHeight="1" x14ac:dyDescent="0.3"/>
    <row r="66" customFormat="1" ht="15.75" customHeight="1" x14ac:dyDescent="0.3"/>
    <row r="67" customFormat="1" ht="15.75" customHeight="1" x14ac:dyDescent="0.3"/>
    <row r="68" customFormat="1" ht="15.75" customHeight="1" x14ac:dyDescent="0.3"/>
    <row r="69" customFormat="1" ht="15.75" customHeight="1" x14ac:dyDescent="0.3"/>
    <row r="70" customFormat="1" ht="15.75" customHeight="1" x14ac:dyDescent="0.3"/>
    <row r="71" customFormat="1" ht="15.75" customHeight="1" x14ac:dyDescent="0.3"/>
    <row r="72" customFormat="1" ht="15.75" customHeight="1" x14ac:dyDescent="0.3"/>
    <row r="73" customFormat="1" ht="15.75" customHeight="1" x14ac:dyDescent="0.3"/>
    <row r="74" customFormat="1" ht="15.75" customHeight="1" x14ac:dyDescent="0.3"/>
    <row r="75" customFormat="1" ht="15.75" customHeight="1" x14ac:dyDescent="0.3"/>
    <row r="76" customFormat="1" ht="15.75" customHeight="1" x14ac:dyDescent="0.3"/>
    <row r="77" customFormat="1" ht="15.75" customHeight="1" x14ac:dyDescent="0.3"/>
    <row r="78" customFormat="1" ht="15.75" customHeight="1" x14ac:dyDescent="0.3"/>
    <row r="79" customFormat="1" ht="15.75" customHeight="1" x14ac:dyDescent="0.3"/>
    <row r="80" customFormat="1" ht="15.75" customHeight="1" x14ac:dyDescent="0.3"/>
    <row r="81" customFormat="1" ht="15.75" customHeight="1" x14ac:dyDescent="0.3"/>
    <row r="82" customFormat="1" ht="15.75" customHeight="1" x14ac:dyDescent="0.3"/>
    <row r="83" customFormat="1" ht="15.75" customHeight="1" x14ac:dyDescent="0.3"/>
    <row r="84" customFormat="1" ht="15.75" customHeight="1" x14ac:dyDescent="0.3"/>
    <row r="85" customFormat="1" ht="15.75" customHeight="1" x14ac:dyDescent="0.3"/>
    <row r="86" customFormat="1" ht="15.75" customHeight="1" x14ac:dyDescent="0.3"/>
    <row r="87" customFormat="1" ht="15.75" customHeight="1" x14ac:dyDescent="0.3"/>
    <row r="88" customFormat="1" ht="15.75" customHeight="1" x14ac:dyDescent="0.3"/>
    <row r="89" customFormat="1" ht="15.75" customHeight="1" x14ac:dyDescent="0.3"/>
    <row r="90" customFormat="1" ht="15.75" customHeight="1" x14ac:dyDescent="0.3"/>
    <row r="91" customFormat="1" ht="15.75" customHeight="1" x14ac:dyDescent="0.3"/>
    <row r="92" customFormat="1" ht="15.75" customHeight="1" x14ac:dyDescent="0.3"/>
    <row r="93" customFormat="1" ht="15.75" customHeight="1" x14ac:dyDescent="0.3"/>
    <row r="94" customFormat="1" ht="15.75" customHeight="1" x14ac:dyDescent="0.3"/>
    <row r="95" customFormat="1" ht="15.75" customHeight="1" x14ac:dyDescent="0.3"/>
    <row r="96" customFormat="1" ht="15.75" customHeight="1" x14ac:dyDescent="0.3"/>
    <row r="97" customFormat="1" ht="15.75" customHeight="1" x14ac:dyDescent="0.3"/>
    <row r="98" customFormat="1" ht="15.75" customHeight="1" x14ac:dyDescent="0.3"/>
    <row r="99" customFormat="1" ht="15.75" customHeight="1" x14ac:dyDescent="0.3"/>
    <row r="100" customFormat="1" ht="15.75" customHeight="1" x14ac:dyDescent="0.3"/>
    <row r="101" customFormat="1" ht="15.75" customHeight="1" x14ac:dyDescent="0.3"/>
    <row r="102" customFormat="1" ht="15.75" customHeight="1" x14ac:dyDescent="0.3"/>
    <row r="103" customFormat="1" ht="15.75" customHeight="1" x14ac:dyDescent="0.3"/>
    <row r="104" customFormat="1" ht="15.75" customHeight="1" x14ac:dyDescent="0.3"/>
    <row r="105" customFormat="1" ht="15.75" customHeight="1" x14ac:dyDescent="0.3"/>
    <row r="106" customFormat="1" ht="15.75" customHeight="1" x14ac:dyDescent="0.3"/>
    <row r="107" customFormat="1" ht="15.75" customHeight="1" x14ac:dyDescent="0.3"/>
    <row r="108" customFormat="1" ht="15.75" customHeight="1" x14ac:dyDescent="0.3"/>
    <row r="109" customFormat="1" ht="15.75" customHeight="1" x14ac:dyDescent="0.3"/>
    <row r="110" customFormat="1" ht="15.75" customHeight="1" x14ac:dyDescent="0.3"/>
    <row r="111" customFormat="1" ht="15.75" customHeight="1" x14ac:dyDescent="0.3"/>
    <row r="112" customFormat="1" ht="15.75" customHeight="1" x14ac:dyDescent="0.3"/>
    <row r="113" customFormat="1" ht="15.75" customHeight="1" x14ac:dyDescent="0.3"/>
    <row r="114" customFormat="1" ht="15.75" customHeight="1" x14ac:dyDescent="0.3"/>
    <row r="115" customFormat="1" ht="15.75" customHeight="1" x14ac:dyDescent="0.3"/>
    <row r="116" customFormat="1" ht="15.75" customHeight="1" x14ac:dyDescent="0.3"/>
    <row r="117" customFormat="1" ht="15.75" customHeight="1" x14ac:dyDescent="0.3"/>
    <row r="118" customFormat="1" ht="15.75" customHeight="1" x14ac:dyDescent="0.3"/>
    <row r="119" customFormat="1" ht="15.75" customHeight="1" x14ac:dyDescent="0.3"/>
    <row r="120" customFormat="1" ht="15.75" customHeight="1" x14ac:dyDescent="0.3"/>
    <row r="121" customFormat="1" ht="15.75" customHeight="1" x14ac:dyDescent="0.3"/>
    <row r="122" customFormat="1" ht="15.75" customHeight="1" x14ac:dyDescent="0.3"/>
    <row r="123" customFormat="1" ht="15.75" customHeight="1" x14ac:dyDescent="0.3"/>
    <row r="124" customFormat="1" ht="15.75" customHeight="1" x14ac:dyDescent="0.3"/>
    <row r="125" customFormat="1" ht="15.75" customHeight="1" x14ac:dyDescent="0.3"/>
    <row r="126" customFormat="1" ht="15.75" customHeight="1" x14ac:dyDescent="0.3"/>
    <row r="127" customFormat="1" ht="15.75" customHeight="1" x14ac:dyDescent="0.3"/>
    <row r="128" customFormat="1" ht="15.75" customHeight="1" x14ac:dyDescent="0.3"/>
    <row r="129" customFormat="1" ht="15.75" customHeight="1" x14ac:dyDescent="0.3"/>
    <row r="130" customFormat="1" ht="15.75" customHeight="1" x14ac:dyDescent="0.3"/>
    <row r="131" customFormat="1" ht="15.75" customHeight="1" x14ac:dyDescent="0.3"/>
    <row r="132" customFormat="1" ht="15.75" customHeight="1" x14ac:dyDescent="0.3"/>
    <row r="133" customFormat="1" ht="15.75" customHeight="1" x14ac:dyDescent="0.3"/>
    <row r="134" customFormat="1" ht="15.75" customHeight="1" x14ac:dyDescent="0.3"/>
    <row r="135" customFormat="1" ht="15.75" customHeight="1" x14ac:dyDescent="0.3"/>
    <row r="136" customFormat="1" ht="15.75" customHeight="1" x14ac:dyDescent="0.3"/>
    <row r="137" customFormat="1" ht="15.75" customHeight="1" x14ac:dyDescent="0.3"/>
    <row r="138" customFormat="1" ht="15.75" customHeight="1" x14ac:dyDescent="0.3"/>
    <row r="139" customFormat="1" ht="15.75" customHeight="1" x14ac:dyDescent="0.3"/>
    <row r="140" customFormat="1" ht="15.75" customHeight="1" x14ac:dyDescent="0.3"/>
    <row r="141" customFormat="1" ht="15.75" customHeight="1" x14ac:dyDescent="0.3"/>
    <row r="142" customFormat="1" ht="15.75" customHeight="1" x14ac:dyDescent="0.3"/>
    <row r="143" customFormat="1" ht="15.75" customHeight="1" x14ac:dyDescent="0.3"/>
    <row r="144" customFormat="1" ht="15.75" customHeight="1" x14ac:dyDescent="0.3"/>
    <row r="145" customFormat="1" ht="15.75" customHeight="1" x14ac:dyDescent="0.3"/>
    <row r="146" customFormat="1" ht="15.75" customHeight="1" x14ac:dyDescent="0.3"/>
    <row r="147" customFormat="1" ht="15.75" customHeight="1" x14ac:dyDescent="0.3"/>
    <row r="148" customFormat="1" ht="15.75" customHeight="1" x14ac:dyDescent="0.3"/>
    <row r="149" customFormat="1" ht="15.75" customHeight="1" x14ac:dyDescent="0.3"/>
    <row r="150" customFormat="1" ht="15.75" customHeight="1" x14ac:dyDescent="0.3"/>
    <row r="151" customFormat="1" ht="15.75" customHeight="1" x14ac:dyDescent="0.3"/>
    <row r="152" customFormat="1" ht="15.75" customHeight="1" x14ac:dyDescent="0.3"/>
    <row r="153" customFormat="1" ht="15.75" customHeight="1" x14ac:dyDescent="0.3"/>
    <row r="154" customFormat="1" ht="15.75" customHeight="1" x14ac:dyDescent="0.3"/>
    <row r="155" customFormat="1" ht="15.75" customHeight="1" x14ac:dyDescent="0.3"/>
    <row r="156" customFormat="1" ht="15.75" customHeight="1" x14ac:dyDescent="0.3"/>
    <row r="157" customFormat="1" ht="15.75" customHeight="1" x14ac:dyDescent="0.3"/>
    <row r="158" customFormat="1" ht="15.75" customHeight="1" x14ac:dyDescent="0.3"/>
    <row r="159" customFormat="1" ht="15.75" customHeight="1" x14ac:dyDescent="0.3"/>
    <row r="160" customFormat="1" ht="15.75" customHeight="1" x14ac:dyDescent="0.3"/>
    <row r="161" customFormat="1" ht="15.75" customHeight="1" x14ac:dyDescent="0.3"/>
    <row r="162" customFormat="1" ht="15.75" customHeight="1" x14ac:dyDescent="0.3"/>
    <row r="163" customFormat="1" ht="15.75" customHeight="1" x14ac:dyDescent="0.3"/>
    <row r="164" customFormat="1" ht="15.75" customHeight="1" x14ac:dyDescent="0.3"/>
    <row r="165" customFormat="1" ht="15.75" customHeight="1" x14ac:dyDescent="0.3"/>
    <row r="166" customFormat="1" ht="15.75" customHeight="1" x14ac:dyDescent="0.3"/>
    <row r="167" customFormat="1" ht="15.75" customHeight="1" x14ac:dyDescent="0.3"/>
    <row r="168" customFormat="1" ht="15.75" customHeight="1" x14ac:dyDescent="0.3"/>
    <row r="169" customFormat="1" ht="15.75" customHeight="1" x14ac:dyDescent="0.3"/>
    <row r="170" customFormat="1" ht="15.75" customHeight="1" x14ac:dyDescent="0.3"/>
    <row r="171" customFormat="1" ht="15.75" customHeight="1" x14ac:dyDescent="0.3"/>
    <row r="172" customFormat="1" ht="15.75" customHeight="1" x14ac:dyDescent="0.3"/>
    <row r="173" customFormat="1" ht="15.75" customHeight="1" x14ac:dyDescent="0.3"/>
    <row r="174" customFormat="1" ht="15.75" customHeight="1" x14ac:dyDescent="0.3"/>
    <row r="175" customFormat="1" ht="15.75" customHeight="1" x14ac:dyDescent="0.3"/>
    <row r="176" customFormat="1" ht="15.75" customHeight="1" x14ac:dyDescent="0.3"/>
    <row r="177" customFormat="1" ht="15.75" customHeight="1" x14ac:dyDescent="0.3"/>
    <row r="178" customFormat="1" ht="15.75" customHeight="1" x14ac:dyDescent="0.3"/>
    <row r="179" customFormat="1" ht="15.75" customHeight="1" x14ac:dyDescent="0.3"/>
    <row r="180" customFormat="1" ht="15.75" customHeight="1" x14ac:dyDescent="0.3"/>
    <row r="181" customFormat="1" ht="15.75" customHeight="1" x14ac:dyDescent="0.3"/>
    <row r="182" customFormat="1" ht="15.75" customHeight="1" x14ac:dyDescent="0.3"/>
    <row r="183" customFormat="1" ht="15.75" customHeight="1" x14ac:dyDescent="0.3"/>
    <row r="184" customFormat="1" ht="15.75" customHeight="1" x14ac:dyDescent="0.3"/>
    <row r="185" customFormat="1" ht="15.75" customHeight="1" x14ac:dyDescent="0.3"/>
    <row r="186" customFormat="1" ht="15.75" customHeight="1" x14ac:dyDescent="0.3"/>
    <row r="187" customFormat="1" ht="15.75" customHeight="1" x14ac:dyDescent="0.3"/>
    <row r="188" customFormat="1" ht="15.75" customHeight="1" x14ac:dyDescent="0.3"/>
    <row r="189" customFormat="1" ht="15.75" customHeight="1" x14ac:dyDescent="0.3"/>
    <row r="190" customFormat="1" ht="15.75" customHeight="1" x14ac:dyDescent="0.3"/>
    <row r="191" customFormat="1" ht="15.75" customHeight="1" x14ac:dyDescent="0.3"/>
    <row r="192" customFormat="1" ht="15.75" customHeight="1" x14ac:dyDescent="0.3"/>
    <row r="193" customFormat="1" ht="15.75" customHeight="1" x14ac:dyDescent="0.3"/>
    <row r="194" customFormat="1" ht="15.75" customHeight="1" x14ac:dyDescent="0.3"/>
    <row r="195" customFormat="1" ht="15.75" customHeight="1" x14ac:dyDescent="0.3"/>
    <row r="196" customFormat="1" ht="15.75" customHeight="1" x14ac:dyDescent="0.3"/>
    <row r="197" customFormat="1" ht="15.75" customHeight="1" x14ac:dyDescent="0.3"/>
    <row r="198" customFormat="1" ht="15.75" customHeight="1" x14ac:dyDescent="0.3"/>
    <row r="199" customFormat="1" ht="15.75" customHeight="1" x14ac:dyDescent="0.3"/>
    <row r="200" customFormat="1" ht="15.75" customHeight="1" x14ac:dyDescent="0.3"/>
    <row r="201" customFormat="1" ht="15.75" customHeight="1" x14ac:dyDescent="0.3"/>
    <row r="202" customFormat="1" ht="15.75" customHeight="1" x14ac:dyDescent="0.3"/>
    <row r="203" customFormat="1" ht="15.75" customHeight="1" x14ac:dyDescent="0.3"/>
    <row r="204" customFormat="1" ht="15.75" customHeight="1" x14ac:dyDescent="0.3"/>
    <row r="205" customFormat="1" ht="15.75" customHeight="1" x14ac:dyDescent="0.3"/>
    <row r="206" customFormat="1" ht="15.75" customHeight="1" x14ac:dyDescent="0.3"/>
    <row r="207" customFormat="1" ht="15.75" customHeight="1" x14ac:dyDescent="0.3"/>
    <row r="208" customFormat="1" ht="15.75" customHeight="1" x14ac:dyDescent="0.3"/>
    <row r="209" customFormat="1" ht="15.75" customHeight="1" x14ac:dyDescent="0.3"/>
    <row r="210" customFormat="1" ht="15.75" customHeight="1" x14ac:dyDescent="0.3"/>
    <row r="211" customFormat="1" ht="15.75" customHeight="1" x14ac:dyDescent="0.3"/>
    <row r="212" customFormat="1" ht="15.75" customHeight="1" x14ac:dyDescent="0.3"/>
    <row r="213" customFormat="1" ht="15.75" customHeight="1" x14ac:dyDescent="0.3"/>
    <row r="214" customFormat="1" ht="15.75" customHeight="1" x14ac:dyDescent="0.3"/>
    <row r="215" customFormat="1" ht="15.75" customHeight="1" x14ac:dyDescent="0.3"/>
    <row r="216" customFormat="1" ht="15.75" customHeight="1" x14ac:dyDescent="0.3"/>
    <row r="217" customFormat="1" ht="15.75" customHeight="1" x14ac:dyDescent="0.3"/>
    <row r="218" customFormat="1" ht="15.75" customHeight="1" x14ac:dyDescent="0.3"/>
    <row r="219" customFormat="1" ht="15.75" customHeight="1" x14ac:dyDescent="0.3"/>
    <row r="220" customFormat="1" ht="15.7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  <row r="1001" customFormat="1" ht="15.75" customHeight="1" x14ac:dyDescent="0.3"/>
  </sheetData>
  <mergeCells count="15">
    <mergeCell ref="B37:N37"/>
    <mergeCell ref="B30:N30"/>
    <mergeCell ref="B31:N31"/>
    <mergeCell ref="B32:N32"/>
    <mergeCell ref="B33:N33"/>
    <mergeCell ref="B34:N34"/>
    <mergeCell ref="B36:N36"/>
    <mergeCell ref="B1:N1"/>
    <mergeCell ref="C2:E2"/>
    <mergeCell ref="C8:D8"/>
    <mergeCell ref="E8:F8"/>
    <mergeCell ref="G8:H8"/>
    <mergeCell ref="I8:J8"/>
    <mergeCell ref="K8:L8"/>
    <mergeCell ref="M8:N8"/>
  </mergeCells>
  <dataValidations count="1">
    <dataValidation type="list" allowBlank="1" showInputMessage="1" showErrorMessage="1" sqref="C2" xr:uid="{1A1457C8-281F-4B65-AB1D-C3427DC0D066}">
      <formula1>"POMPALI,MİKSERLİ,SANTRAL ALTI"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BE71E-4AFD-4585-B7F5-7890CF28E0F2}">
  <dimension ref="B1:H47"/>
  <sheetViews>
    <sheetView showGridLines="0" zoomScale="77" workbookViewId="0">
      <selection activeCell="B37" sqref="B37"/>
    </sheetView>
  </sheetViews>
  <sheetFormatPr defaultRowHeight="14.4" x14ac:dyDescent="0.3"/>
  <cols>
    <col min="2" max="2" width="48.109375" customWidth="1"/>
    <col min="3" max="4" width="14.77734375" customWidth="1"/>
    <col min="5" max="5" width="35.21875" customWidth="1"/>
    <col min="6" max="8" width="14.77734375" customWidth="1"/>
  </cols>
  <sheetData>
    <row r="1" spans="2:6" ht="18" x14ac:dyDescent="0.35">
      <c r="B1" s="40" t="s">
        <v>69</v>
      </c>
    </row>
    <row r="3" spans="2:6" x14ac:dyDescent="0.3">
      <c r="B3" s="41" t="s">
        <v>70</v>
      </c>
      <c r="C3" s="41"/>
      <c r="E3" s="41" t="s">
        <v>81</v>
      </c>
      <c r="F3" s="41"/>
    </row>
    <row r="4" spans="2:6" x14ac:dyDescent="0.3">
      <c r="B4" s="44" t="s">
        <v>55</v>
      </c>
      <c r="C4" s="53">
        <f>Dashboard!C8</f>
        <v>4300</v>
      </c>
      <c r="E4" s="44" t="s">
        <v>82</v>
      </c>
      <c r="F4" s="54">
        <v>0.7</v>
      </c>
    </row>
    <row r="5" spans="2:6" x14ac:dyDescent="0.3">
      <c r="B5" s="44" t="s">
        <v>56</v>
      </c>
      <c r="C5" s="53">
        <f>Dashboard!C9</f>
        <v>200</v>
      </c>
      <c r="E5" s="44" t="s">
        <v>83</v>
      </c>
      <c r="F5" s="54">
        <v>0.4</v>
      </c>
    </row>
    <row r="6" spans="2:6" x14ac:dyDescent="0.3">
      <c r="B6" s="44" t="s">
        <v>57</v>
      </c>
      <c r="C6" s="53">
        <f>Dashboard!C10</f>
        <v>0.62</v>
      </c>
      <c r="E6" s="44" t="s">
        <v>84</v>
      </c>
      <c r="F6" s="54">
        <v>38</v>
      </c>
    </row>
    <row r="7" spans="2:6" x14ac:dyDescent="0.3">
      <c r="B7" s="44" t="s">
        <v>58</v>
      </c>
      <c r="C7" s="53">
        <f>Dashboard!C12</f>
        <v>94.995000000000005</v>
      </c>
      <c r="E7" s="44" t="s">
        <v>85</v>
      </c>
      <c r="F7" s="55">
        <v>0.15</v>
      </c>
    </row>
    <row r="8" spans="2:6" x14ac:dyDescent="0.3">
      <c r="B8" s="44" t="s">
        <v>71</v>
      </c>
      <c r="C8" s="53">
        <f>Dashboard!C15</f>
        <v>70000</v>
      </c>
      <c r="E8" s="44" t="s">
        <v>86</v>
      </c>
      <c r="F8" s="54">
        <v>0.73</v>
      </c>
    </row>
    <row r="9" spans="2:6" x14ac:dyDescent="0.3">
      <c r="B9" s="44" t="s">
        <v>59</v>
      </c>
      <c r="C9" s="53">
        <f>Dashboard!C11</f>
        <v>49.16</v>
      </c>
      <c r="E9" s="44" t="s">
        <v>87</v>
      </c>
      <c r="F9" s="54">
        <v>0.35</v>
      </c>
    </row>
    <row r="10" spans="2:6" x14ac:dyDescent="0.3">
      <c r="B10" s="44" t="s">
        <v>60</v>
      </c>
      <c r="C10" s="53">
        <f>Dashboard!C13</f>
        <v>2.92</v>
      </c>
      <c r="E10" s="44" t="s">
        <v>88</v>
      </c>
      <c r="F10" s="54">
        <v>21</v>
      </c>
    </row>
    <row r="11" spans="2:6" x14ac:dyDescent="0.3">
      <c r="B11" s="44" t="s">
        <v>61</v>
      </c>
      <c r="C11" s="53">
        <f>Dashboard!C14</f>
        <v>12.175000000000001</v>
      </c>
      <c r="E11" s="44" t="s">
        <v>89</v>
      </c>
      <c r="F11" s="54">
        <v>5.5</v>
      </c>
    </row>
    <row r="12" spans="2:6" x14ac:dyDescent="0.3">
      <c r="B12" s="44" t="s">
        <v>72</v>
      </c>
      <c r="C12" s="53">
        <f>Dashboard!C18</f>
        <v>24</v>
      </c>
      <c r="E12" s="44" t="s">
        <v>90</v>
      </c>
      <c r="F12" s="54">
        <v>1</v>
      </c>
    </row>
    <row r="13" spans="2:6" x14ac:dyDescent="0.3">
      <c r="B13" s="44" t="s">
        <v>73</v>
      </c>
      <c r="C13" s="53">
        <f>Dashboard!C19</f>
        <v>21</v>
      </c>
      <c r="E13" s="44" t="s">
        <v>91</v>
      </c>
      <c r="F13" s="55">
        <v>0.05</v>
      </c>
    </row>
    <row r="14" spans="2:6" x14ac:dyDescent="0.3">
      <c r="B14" s="44" t="s">
        <v>74</v>
      </c>
      <c r="C14" s="53">
        <f>Dashboard!C20</f>
        <v>140</v>
      </c>
      <c r="E14" s="44" t="s">
        <v>92</v>
      </c>
      <c r="F14" s="54">
        <v>4</v>
      </c>
    </row>
    <row r="15" spans="2:6" x14ac:dyDescent="0.3">
      <c r="B15" s="44" t="s">
        <v>75</v>
      </c>
      <c r="C15" s="53">
        <f>Dashboard!C21</f>
        <v>10</v>
      </c>
      <c r="E15" s="44" t="s">
        <v>93</v>
      </c>
      <c r="F15" s="54">
        <v>1</v>
      </c>
    </row>
    <row r="16" spans="2:6" x14ac:dyDescent="0.3">
      <c r="B16" s="44" t="s">
        <v>76</v>
      </c>
      <c r="C16" s="53">
        <f>Dashboard!C24</f>
        <v>0</v>
      </c>
      <c r="E16" s="44" t="s">
        <v>94</v>
      </c>
      <c r="F16" s="54">
        <v>1</v>
      </c>
    </row>
    <row r="17" spans="2:8" x14ac:dyDescent="0.3">
      <c r="B17" s="44" t="s">
        <v>77</v>
      </c>
      <c r="C17" s="53">
        <f>Dashboard!C25</f>
        <v>0</v>
      </c>
      <c r="E17" s="44" t="s">
        <v>95</v>
      </c>
      <c r="F17" s="54">
        <v>1</v>
      </c>
    </row>
    <row r="18" spans="2:8" x14ac:dyDescent="0.3">
      <c r="B18" s="44" t="s">
        <v>78</v>
      </c>
      <c r="C18" s="53">
        <f>Dashboard!C26</f>
        <v>0</v>
      </c>
      <c r="E18" s="44" t="s">
        <v>96</v>
      </c>
      <c r="F18" s="54">
        <v>1</v>
      </c>
    </row>
    <row r="19" spans="2:8" x14ac:dyDescent="0.3">
      <c r="B19" s="44" t="s">
        <v>79</v>
      </c>
      <c r="C19" s="53">
        <f>Dashboard!C27</f>
        <v>0</v>
      </c>
      <c r="E19" s="44" t="s">
        <v>97</v>
      </c>
      <c r="F19" s="54">
        <v>30</v>
      </c>
    </row>
    <row r="20" spans="2:8" x14ac:dyDescent="0.3">
      <c r="B20" s="44" t="s">
        <v>80</v>
      </c>
      <c r="C20" s="53">
        <f>Dashboard!C28</f>
        <v>0</v>
      </c>
      <c r="E20" s="44" t="s">
        <v>98</v>
      </c>
      <c r="F20" s="55">
        <v>0.01</v>
      </c>
    </row>
    <row r="22" spans="2:8" x14ac:dyDescent="0.3">
      <c r="B22" s="41" t="s">
        <v>99</v>
      </c>
      <c r="C22" s="41"/>
      <c r="D22" s="41"/>
      <c r="E22" s="41"/>
      <c r="F22" s="41"/>
      <c r="G22" s="41"/>
      <c r="H22" s="41"/>
    </row>
    <row r="23" spans="2:8" x14ac:dyDescent="0.3">
      <c r="B23" s="42" t="s">
        <v>100</v>
      </c>
      <c r="C23" s="43" t="s">
        <v>20</v>
      </c>
      <c r="D23" s="43" t="s">
        <v>21</v>
      </c>
      <c r="E23" s="43" t="s">
        <v>22</v>
      </c>
      <c r="F23" s="43" t="s">
        <v>23</v>
      </c>
      <c r="G23" s="43" t="s">
        <v>24</v>
      </c>
      <c r="H23" s="43" t="s">
        <v>25</v>
      </c>
    </row>
    <row r="24" spans="2:8" x14ac:dyDescent="0.3">
      <c r="B24" s="44" t="s">
        <v>101</v>
      </c>
      <c r="C24" s="45">
        <v>170</v>
      </c>
      <c r="D24" s="45">
        <v>230</v>
      </c>
      <c r="E24" s="45">
        <v>300</v>
      </c>
      <c r="F24" s="45">
        <v>340</v>
      </c>
      <c r="G24" s="45">
        <v>370</v>
      </c>
      <c r="H24" s="45">
        <v>410</v>
      </c>
    </row>
    <row r="25" spans="2:8" x14ac:dyDescent="0.3">
      <c r="B25" s="44" t="s">
        <v>102</v>
      </c>
      <c r="C25" s="45">
        <v>1940</v>
      </c>
      <c r="D25" s="45">
        <v>1868.4</v>
      </c>
      <c r="E25" s="45">
        <v>1939</v>
      </c>
      <c r="F25" s="45">
        <v>1892</v>
      </c>
      <c r="G25" s="45">
        <v>1859</v>
      </c>
      <c r="H25" s="45">
        <v>1819</v>
      </c>
    </row>
    <row r="26" spans="2:8" x14ac:dyDescent="0.3">
      <c r="B26" s="44" t="s">
        <v>103</v>
      </c>
      <c r="C26" s="45">
        <v>1.9</v>
      </c>
      <c r="D26" s="46">
        <f>D24*$F$20</f>
        <v>2.3000000000000003</v>
      </c>
      <c r="E26" s="46">
        <f>E24*$F$20</f>
        <v>3</v>
      </c>
      <c r="F26" s="46">
        <f>F24*$F$20</f>
        <v>3.4</v>
      </c>
      <c r="G26" s="46">
        <f>G24*$F$20</f>
        <v>3.7</v>
      </c>
      <c r="H26" s="46">
        <f>H24*$F$20</f>
        <v>4.0999999999999996</v>
      </c>
    </row>
    <row r="27" spans="2:8" x14ac:dyDescent="0.3">
      <c r="B27" s="47" t="s">
        <v>104</v>
      </c>
      <c r="C27" s="47"/>
      <c r="D27" s="47"/>
      <c r="E27" s="47"/>
      <c r="F27" s="47"/>
      <c r="G27" s="47"/>
      <c r="H27" s="47"/>
    </row>
    <row r="28" spans="2:8" x14ac:dyDescent="0.3">
      <c r="B28" s="44" t="s">
        <v>105</v>
      </c>
      <c r="C28" s="46">
        <f t="shared" ref="C28:H28" si="0">C24*$C$4/1000</f>
        <v>731</v>
      </c>
      <c r="D28" s="46">
        <f t="shared" si="0"/>
        <v>989</v>
      </c>
      <c r="E28" s="46">
        <f t="shared" si="0"/>
        <v>1290</v>
      </c>
      <c r="F28" s="46">
        <f t="shared" si="0"/>
        <v>1462</v>
      </c>
      <c r="G28" s="46">
        <f t="shared" si="0"/>
        <v>1591</v>
      </c>
      <c r="H28" s="46">
        <f t="shared" si="0"/>
        <v>1763</v>
      </c>
    </row>
    <row r="29" spans="2:8" x14ac:dyDescent="0.3">
      <c r="B29" s="44" t="s">
        <v>106</v>
      </c>
      <c r="C29" s="46">
        <f t="shared" ref="C29:H29" si="1">C25*$C$5/1000</f>
        <v>388</v>
      </c>
      <c r="D29" s="46">
        <f t="shared" si="1"/>
        <v>373.68</v>
      </c>
      <c r="E29" s="46">
        <f t="shared" si="1"/>
        <v>387.8</v>
      </c>
      <c r="F29" s="46">
        <f t="shared" si="1"/>
        <v>378.4</v>
      </c>
      <c r="G29" s="46">
        <f t="shared" si="1"/>
        <v>371.8</v>
      </c>
      <c r="H29" s="46">
        <f t="shared" si="1"/>
        <v>363.8</v>
      </c>
    </row>
    <row r="30" spans="2:8" x14ac:dyDescent="0.3">
      <c r="B30" s="44" t="s">
        <v>107</v>
      </c>
      <c r="C30" s="46">
        <f t="shared" ref="C30:H30" si="2">C26*$C$6*$C$9</f>
        <v>57.910479999999993</v>
      </c>
      <c r="D30" s="46">
        <f t="shared" si="2"/>
        <v>70.102159999999998</v>
      </c>
      <c r="E30" s="46">
        <f t="shared" si="2"/>
        <v>91.437599999999989</v>
      </c>
      <c r="F30" s="46">
        <f t="shared" si="2"/>
        <v>103.62927999999999</v>
      </c>
      <c r="G30" s="46">
        <f t="shared" si="2"/>
        <v>112.77303999999999</v>
      </c>
      <c r="H30" s="46">
        <f t="shared" si="2"/>
        <v>124.96471999999999</v>
      </c>
    </row>
    <row r="31" spans="2:8" x14ac:dyDescent="0.3">
      <c r="B31" s="44" t="s">
        <v>108</v>
      </c>
      <c r="C31" s="46">
        <f t="shared" ref="C31:H31" si="3">$F$5*2*$C$13/$F$6*$C$7*C25/1000*(1+$F$7)</f>
        <v>93.697068315789465</v>
      </c>
      <c r="D31" s="46">
        <f t="shared" si="3"/>
        <v>90.238970330526328</v>
      </c>
      <c r="E31" s="46">
        <f t="shared" si="3"/>
        <v>93.648770857894746</v>
      </c>
      <c r="F31" s="46">
        <f t="shared" si="3"/>
        <v>91.378790336842101</v>
      </c>
      <c r="G31" s="46">
        <f t="shared" si="3"/>
        <v>89.784974226315782</v>
      </c>
      <c r="H31" s="46">
        <f t="shared" si="3"/>
        <v>87.853075910526329</v>
      </c>
    </row>
    <row r="32" spans="2:8" x14ac:dyDescent="0.3">
      <c r="B32" s="44" t="s">
        <v>109</v>
      </c>
      <c r="C32" s="46">
        <f t="shared" ref="C32:H32" si="4">$F$9*$C$7</f>
        <v>33.248249999999999</v>
      </c>
      <c r="D32" s="46">
        <f t="shared" si="4"/>
        <v>33.248249999999999</v>
      </c>
      <c r="E32" s="46">
        <f t="shared" si="4"/>
        <v>33.248249999999999</v>
      </c>
      <c r="F32" s="46">
        <f t="shared" si="4"/>
        <v>33.248249999999999</v>
      </c>
      <c r="G32" s="46">
        <f t="shared" si="4"/>
        <v>33.248249999999999</v>
      </c>
      <c r="H32" s="46">
        <f t="shared" si="4"/>
        <v>33.248249999999999</v>
      </c>
    </row>
    <row r="33" spans="2:8" x14ac:dyDescent="0.3">
      <c r="B33" s="44" t="s">
        <v>110</v>
      </c>
      <c r="C33" s="46">
        <f t="shared" ref="C33:H33" si="5">$F$10*$C$8/$F$19/$C$14</f>
        <v>350</v>
      </c>
      <c r="D33" s="46">
        <f t="shared" si="5"/>
        <v>350</v>
      </c>
      <c r="E33" s="46">
        <f t="shared" si="5"/>
        <v>350</v>
      </c>
      <c r="F33" s="46">
        <f t="shared" si="5"/>
        <v>350</v>
      </c>
      <c r="G33" s="46">
        <f t="shared" si="5"/>
        <v>350</v>
      </c>
      <c r="H33" s="46">
        <f t="shared" si="5"/>
        <v>350</v>
      </c>
    </row>
    <row r="34" spans="2:8" x14ac:dyDescent="0.3">
      <c r="B34" s="44" t="s">
        <v>111</v>
      </c>
      <c r="C34" s="46">
        <f t="shared" ref="C34:H34" si="6">$F$11*$C$10</f>
        <v>16.059999999999999</v>
      </c>
      <c r="D34" s="46">
        <f t="shared" si="6"/>
        <v>16.059999999999999</v>
      </c>
      <c r="E34" s="46">
        <f t="shared" si="6"/>
        <v>16.059999999999999</v>
      </c>
      <c r="F34" s="46">
        <f t="shared" si="6"/>
        <v>16.059999999999999</v>
      </c>
      <c r="G34" s="46">
        <f t="shared" si="6"/>
        <v>16.059999999999999</v>
      </c>
      <c r="H34" s="46">
        <f t="shared" si="6"/>
        <v>16.059999999999999</v>
      </c>
    </row>
    <row r="35" spans="2:8" x14ac:dyDescent="0.3">
      <c r="B35" s="44" t="s">
        <v>112</v>
      </c>
      <c r="C35" s="46">
        <f t="shared" ref="C35:H35" si="7">$F$12*$C$11</f>
        <v>12.175000000000001</v>
      </c>
      <c r="D35" s="46">
        <f t="shared" si="7"/>
        <v>12.175000000000001</v>
      </c>
      <c r="E35" s="46">
        <f t="shared" si="7"/>
        <v>12.175000000000001</v>
      </c>
      <c r="F35" s="46">
        <f t="shared" si="7"/>
        <v>12.175000000000001</v>
      </c>
      <c r="G35" s="46">
        <f t="shared" si="7"/>
        <v>12.175000000000001</v>
      </c>
      <c r="H35" s="46">
        <f t="shared" si="7"/>
        <v>12.175000000000001</v>
      </c>
    </row>
    <row r="36" spans="2:8" x14ac:dyDescent="0.3">
      <c r="B36" s="44" t="s">
        <v>113</v>
      </c>
      <c r="C36" s="46">
        <f t="shared" ref="C36:H36" si="8">$F$14*$C$17/$F$19/$C$14</f>
        <v>0</v>
      </c>
      <c r="D36" s="46">
        <f t="shared" si="8"/>
        <v>0</v>
      </c>
      <c r="E36" s="46">
        <f t="shared" si="8"/>
        <v>0</v>
      </c>
      <c r="F36" s="46">
        <f t="shared" si="8"/>
        <v>0</v>
      </c>
      <c r="G36" s="46">
        <f t="shared" si="8"/>
        <v>0</v>
      </c>
      <c r="H36" s="46">
        <f t="shared" si="8"/>
        <v>0</v>
      </c>
    </row>
    <row r="37" spans="2:8" x14ac:dyDescent="0.3">
      <c r="B37" s="44" t="s">
        <v>114</v>
      </c>
      <c r="C37" s="46">
        <f t="shared" ref="C37:H37" si="9">$F$15*$C$18/$F$19/$C$14</f>
        <v>0</v>
      </c>
      <c r="D37" s="46">
        <f t="shared" si="9"/>
        <v>0</v>
      </c>
      <c r="E37" s="46">
        <f t="shared" si="9"/>
        <v>0</v>
      </c>
      <c r="F37" s="46">
        <f t="shared" si="9"/>
        <v>0</v>
      </c>
      <c r="G37" s="46">
        <f t="shared" si="9"/>
        <v>0</v>
      </c>
      <c r="H37" s="46">
        <f t="shared" si="9"/>
        <v>0</v>
      </c>
    </row>
    <row r="38" spans="2:8" x14ac:dyDescent="0.3">
      <c r="B38" s="44" t="s">
        <v>115</v>
      </c>
      <c r="C38" s="46">
        <f t="shared" ref="C38:H38" si="10">$F$16*$C$19/$F$19/$C$14</f>
        <v>0</v>
      </c>
      <c r="D38" s="46">
        <f t="shared" si="10"/>
        <v>0</v>
      </c>
      <c r="E38" s="46">
        <f t="shared" si="10"/>
        <v>0</v>
      </c>
      <c r="F38" s="46">
        <f t="shared" si="10"/>
        <v>0</v>
      </c>
      <c r="G38" s="46">
        <f t="shared" si="10"/>
        <v>0</v>
      </c>
      <c r="H38" s="46">
        <f t="shared" si="10"/>
        <v>0</v>
      </c>
    </row>
    <row r="39" spans="2:8" x14ac:dyDescent="0.3">
      <c r="B39" s="44" t="s">
        <v>116</v>
      </c>
      <c r="C39" s="46">
        <f t="shared" ref="C39:H39" si="11">$F$17*$C$16/$F$19/$C$14</f>
        <v>0</v>
      </c>
      <c r="D39" s="46">
        <f t="shared" si="11"/>
        <v>0</v>
      </c>
      <c r="E39" s="46">
        <f t="shared" si="11"/>
        <v>0</v>
      </c>
      <c r="F39" s="46">
        <f t="shared" si="11"/>
        <v>0</v>
      </c>
      <c r="G39" s="46">
        <f t="shared" si="11"/>
        <v>0</v>
      </c>
      <c r="H39" s="46">
        <f t="shared" si="11"/>
        <v>0</v>
      </c>
    </row>
    <row r="40" spans="2:8" x14ac:dyDescent="0.3">
      <c r="B40" s="44" t="s">
        <v>117</v>
      </c>
      <c r="C40" s="46">
        <f t="shared" ref="C40:H40" si="12">$F$18*$C$20/$F$19/$C$14</f>
        <v>0</v>
      </c>
      <c r="D40" s="46">
        <f t="shared" si="12"/>
        <v>0</v>
      </c>
      <c r="E40" s="46">
        <f t="shared" si="12"/>
        <v>0</v>
      </c>
      <c r="F40" s="46">
        <f t="shared" si="12"/>
        <v>0</v>
      </c>
      <c r="G40" s="46">
        <f t="shared" si="12"/>
        <v>0</v>
      </c>
      <c r="H40" s="46">
        <f t="shared" si="12"/>
        <v>0</v>
      </c>
    </row>
    <row r="41" spans="2:8" x14ac:dyDescent="0.3">
      <c r="B41" s="48" t="s">
        <v>118</v>
      </c>
      <c r="C41" s="49">
        <f t="shared" ref="C41:H41" si="13">SUM(C28:C40)</f>
        <v>1682.0907983157895</v>
      </c>
      <c r="D41" s="49">
        <f t="shared" si="13"/>
        <v>1934.5043803305264</v>
      </c>
      <c r="E41" s="49">
        <f t="shared" si="13"/>
        <v>2274.3696208578949</v>
      </c>
      <c r="F41" s="49">
        <f t="shared" si="13"/>
        <v>2446.8913203368425</v>
      </c>
      <c r="G41" s="49">
        <f t="shared" si="13"/>
        <v>2576.8412642263156</v>
      </c>
      <c r="H41" s="49">
        <f t="shared" si="13"/>
        <v>2751.1010459105269</v>
      </c>
    </row>
    <row r="42" spans="2:8" x14ac:dyDescent="0.3">
      <c r="B42" s="44" t="s">
        <v>119</v>
      </c>
      <c r="C42" s="46">
        <f t="shared" ref="C42:H42" si="14">$F$4*2*$C$12/$C$15*$C$7</f>
        <v>319.18319999999994</v>
      </c>
      <c r="D42" s="46">
        <f t="shared" si="14"/>
        <v>319.18319999999994</v>
      </c>
      <c r="E42" s="46">
        <f t="shared" si="14"/>
        <v>319.18319999999994</v>
      </c>
      <c r="F42" s="46">
        <f t="shared" si="14"/>
        <v>319.18319999999994</v>
      </c>
      <c r="G42" s="46">
        <f t="shared" si="14"/>
        <v>319.18319999999994</v>
      </c>
      <c r="H42" s="46">
        <f t="shared" si="14"/>
        <v>319.18319999999994</v>
      </c>
    </row>
    <row r="43" spans="2:8" x14ac:dyDescent="0.3">
      <c r="B43" s="44" t="s">
        <v>120</v>
      </c>
      <c r="C43" s="46">
        <f t="shared" ref="C43:H43" si="15">$F$8*$C$7</f>
        <v>69.346350000000001</v>
      </c>
      <c r="D43" s="46">
        <f t="shared" si="15"/>
        <v>69.346350000000001</v>
      </c>
      <c r="E43" s="46">
        <f t="shared" si="15"/>
        <v>69.346350000000001</v>
      </c>
      <c r="F43" s="46">
        <f t="shared" si="15"/>
        <v>69.346350000000001</v>
      </c>
      <c r="G43" s="46">
        <f t="shared" si="15"/>
        <v>69.346350000000001</v>
      </c>
      <c r="H43" s="46">
        <f t="shared" si="15"/>
        <v>69.346350000000001</v>
      </c>
    </row>
    <row r="44" spans="2:8" x14ac:dyDescent="0.3">
      <c r="B44" s="47" t="s">
        <v>121</v>
      </c>
      <c r="C44" s="50"/>
      <c r="D44" s="50"/>
      <c r="E44" s="50"/>
      <c r="F44" s="50"/>
      <c r="G44" s="50"/>
      <c r="H44" s="50"/>
    </row>
    <row r="45" spans="2:8" x14ac:dyDescent="0.3">
      <c r="B45" s="51" t="s">
        <v>2</v>
      </c>
      <c r="C45" s="52">
        <f t="shared" ref="C45:H45" si="16">(C41+C42+C43)*(1+$F$13)</f>
        <v>2174.1513657315786</v>
      </c>
      <c r="D45" s="52">
        <f t="shared" si="16"/>
        <v>2439.1856268470528</v>
      </c>
      <c r="E45" s="52">
        <f t="shared" si="16"/>
        <v>2796.0441294007896</v>
      </c>
      <c r="F45" s="52">
        <f t="shared" si="16"/>
        <v>2977.1919138536846</v>
      </c>
      <c r="G45" s="52">
        <f t="shared" si="16"/>
        <v>3113.6393549376312</v>
      </c>
      <c r="H45" s="52">
        <f t="shared" si="16"/>
        <v>3296.6121257060531</v>
      </c>
    </row>
    <row r="46" spans="2:8" x14ac:dyDescent="0.3">
      <c r="B46" s="51" t="s">
        <v>122</v>
      </c>
      <c r="C46" s="52">
        <f t="shared" ref="C46:H46" si="17">(C41+C42)*(1+$F$13)</f>
        <v>2101.337698231579</v>
      </c>
      <c r="D46" s="52">
        <f t="shared" si="17"/>
        <v>2366.3719593470528</v>
      </c>
      <c r="E46" s="52">
        <f t="shared" si="17"/>
        <v>2723.2304619007896</v>
      </c>
      <c r="F46" s="52">
        <f t="shared" si="17"/>
        <v>2904.3782463536845</v>
      </c>
      <c r="G46" s="52">
        <f t="shared" si="17"/>
        <v>3040.8256874376316</v>
      </c>
      <c r="H46" s="52">
        <f t="shared" si="17"/>
        <v>3223.7984582060535</v>
      </c>
    </row>
    <row r="47" spans="2:8" x14ac:dyDescent="0.3">
      <c r="B47" s="51" t="s">
        <v>123</v>
      </c>
      <c r="C47" s="52">
        <f t="shared" ref="C47:H47" si="18">C41*(1+$F$13)</f>
        <v>1766.1953382315789</v>
      </c>
      <c r="D47" s="52">
        <f t="shared" si="18"/>
        <v>2031.2295993470527</v>
      </c>
      <c r="E47" s="52">
        <f t="shared" si="18"/>
        <v>2388.0881019007898</v>
      </c>
      <c r="F47" s="52">
        <f t="shared" si="18"/>
        <v>2569.2358863536847</v>
      </c>
      <c r="G47" s="52">
        <f t="shared" si="18"/>
        <v>2705.6833274376313</v>
      </c>
      <c r="H47" s="52">
        <f t="shared" si="18"/>
        <v>2888.6560982060532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1</vt:i4>
      </vt:variant>
    </vt:vector>
  </HeadingPairs>
  <TitlesOfParts>
    <vt:vector size="4" baseType="lpstr">
      <vt:lpstr>Dashboard</vt:lpstr>
      <vt:lpstr>Beton Maliyet</vt:lpstr>
      <vt:lpstr>Hesaplama</vt:lpstr>
      <vt:lpstr>Dashboard!Yazdırma_Alanı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Ömer Hilmi HAMAMCIOĞLU</dc:creator>
  <cp:lastModifiedBy>Ömer Hilmi HAMAMCIOĞLU</cp:lastModifiedBy>
  <cp:lastPrinted>2026-10-09T08:34:43Z</cp:lastPrinted>
  <dcterms:created xsi:type="dcterms:W3CDTF">2015-06-05T18:19:34Z</dcterms:created>
  <dcterms:modified xsi:type="dcterms:W3CDTF">2026-10-10T09:23:34Z</dcterms:modified>
</cp:coreProperties>
</file>